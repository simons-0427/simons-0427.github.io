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mobilien-Kalkulat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<sst xmlns="http://schemas.openxmlformats.org/spreadsheetml/2006/main" count="117" uniqueCount="117">
  <si>
    <t xml:space="preserve">Immobilien-Kalkulations-Rechner</t>
  </si>
  <si>
    <t xml:space="preserve">Alles auf dieser Farbe ist Ihr Input, den Sie für die jeweilige Berechnung oder Ausführung anpassen müssen. Bisher vorhandene Daten dienen nur als Beispiel</t>
  </si>
  <si>
    <t xml:space="preserve">Szenario- &amp; Exit-Analyse</t>
  </si>
  <si>
    <t xml:space="preserve">Haltedauer (Jahre)</t>
  </si>
  <si>
    <t xml:space="preserve">Angenommene Wertsteigerung p.a. (%)</t>
  </si>
  <si>
    <t xml:space="preserve">Voraussichtlicher Verkaufspreis</t>
  </si>
  <si>
    <t xml:space="preserve">Restschuld am Ende der Laufzeit</t>
  </si>
  <si>
    <t xml:space="preserve">Voraussichtlicher Gesamtgewinn nach Steuer</t>
  </si>
  <si>
    <t xml:space="preserve">Renditen &amp; Kennzahlen</t>
  </si>
  <si>
    <t xml:space="preserve">Bruttomietrendite</t>
  </si>
  <si>
    <t xml:space="preserve">Nettomietrendite</t>
  </si>
  <si>
    <t xml:space="preserve">Eigenkapitalrendite (ROE)</t>
  </si>
  <si>
    <t xml:space="preserve">Kaufpreisfaktor (Vervielfältiger)</t>
  </si>
  <si>
    <t xml:space="preserve">Monatlicher Cashflow (Jahr 1)</t>
  </si>
  <si>
    <t xml:space="preserve">Break-Even-Miete (monatlich)</t>
  </si>
  <si>
    <t xml:space="preserve">Sektion 1: Objektdaten (Grunddaten)</t>
  </si>
  <si>
    <t xml:space="preserve">Kaufpreis gesamt</t>
  </si>
  <si>
    <t xml:space="preserve">Wohnfläche (m²)</t>
  </si>
  <si>
    <t xml:space="preserve">Kaufpreis / m²</t>
  </si>
  <si>
    <t xml:space="preserve">Grundstücksfläche (m²)</t>
  </si>
  <si>
    <t xml:space="preserve">Baujahr</t>
  </si>
  <si>
    <t xml:space="preserve">Objektart</t>
  </si>
  <si>
    <t xml:space="preserve">Wohnung</t>
  </si>
  <si>
    <t xml:space="preserve">Bundesland</t>
  </si>
  <si>
    <t xml:space="preserve">Bayern</t>
  </si>
  <si>
    <t xml:space="preserve">PLZ / Lage</t>
  </si>
  <si>
    <t xml:space="preserve">80331 München</t>
  </si>
  <si>
    <t xml:space="preserve">Sektion 2: Kaufnebenkosten</t>
  </si>
  <si>
    <t xml:space="preserve">Grunderwerbsteuer (%)</t>
  </si>
  <si>
    <t xml:space="preserve">Grunderwerbsteuer (€)</t>
  </si>
  <si>
    <t xml:space="preserve">Notarkosten (%)</t>
  </si>
  <si>
    <t xml:space="preserve">Notarkosten (€)</t>
  </si>
  <si>
    <t xml:space="preserve">Grundbucheintragung (%)</t>
  </si>
  <si>
    <t xml:space="preserve">Grundbucheintragung (€)</t>
  </si>
  <si>
    <t xml:space="preserve">Maklerprovision (%)</t>
  </si>
  <si>
    <t xml:space="preserve">Maklerprovision (€)</t>
  </si>
  <si>
    <t xml:space="preserve">Gutachter / Wertermittlung</t>
  </si>
  <si>
    <t xml:space="preserve">Renovierung / Sanierung vor Einzug</t>
  </si>
  <si>
    <t xml:space="preserve">Sonstige Erwerbsnebenkosten</t>
  </si>
  <si>
    <t xml:space="preserve">Gesamten Kaufnebenkosten (€)</t>
  </si>
  <si>
    <t xml:space="preserve">Gesamten Kaufnebenkosten (%)</t>
  </si>
  <si>
    <t xml:space="preserve">Gesamten Investitionskosten (Kaufpreis + NK)</t>
  </si>
  <si>
    <t xml:space="preserve">Sektion 3: Finanzierung</t>
  </si>
  <si>
    <t xml:space="preserve">Eigenkapital-Anteil (%)</t>
  </si>
  <si>
    <t xml:space="preserve">Eigenkapital (€)</t>
  </si>
  <si>
    <t xml:space="preserve">Darlehensbetrag</t>
  </si>
  <si>
    <t xml:space="preserve">Zinssatz (p. a. %)</t>
  </si>
  <si>
    <t xml:space="preserve">Anfangstilgung (%)</t>
  </si>
  <si>
    <t xml:space="preserve">Monatliche Rate (Annuität)</t>
  </si>
  <si>
    <t xml:space="preserve">Jährliche Rate</t>
  </si>
  <si>
    <t xml:space="preserve">Zinsbindung (Jahre)</t>
  </si>
  <si>
    <t xml:space="preserve">Laufzeit des Kredites (Jahre)</t>
  </si>
  <si>
    <t xml:space="preserve">Beleihungsauslauf (LTV %)</t>
  </si>
  <si>
    <t xml:space="preserve">Sektion 4: Mieteinnahmen &amp; Ertrag</t>
  </si>
  <si>
    <t xml:space="preserve">Kaltmiete / m²</t>
  </si>
  <si>
    <t xml:space="preserve">Kaltmiete monatlich gesamt</t>
  </si>
  <si>
    <t xml:space="preserve">Warmmiete</t>
  </si>
  <si>
    <t xml:space="preserve">Mietausfallwagnis (%)</t>
  </si>
  <si>
    <t xml:space="preserve">Mietausfallwagnis (€)</t>
  </si>
  <si>
    <t xml:space="preserve">Mieteinnahmen netto p. a.</t>
  </si>
  <si>
    <t xml:space="preserve">Mietpreisentwicklung (jährl. Steigerung %)</t>
  </si>
  <si>
    <t xml:space="preserve">Sektion 5: Bewirtschaftungskosten</t>
  </si>
  <si>
    <t xml:space="preserve">Hausverwaltung (monatlich)</t>
  </si>
  <si>
    <t xml:space="preserve">Instandhaltungsrücklage p.a.</t>
  </si>
  <si>
    <t xml:space="preserve">Nicht umlagefähige Nebenkosten p.a.</t>
  </si>
  <si>
    <t xml:space="preserve">Versicherungen p.a.</t>
  </si>
  <si>
    <t xml:space="preserve">Grundsteuer B p.a.</t>
  </si>
  <si>
    <t xml:space="preserve">Hausmeister p.a.</t>
  </si>
  <si>
    <t xml:space="preserve">Leerstandskosten p.a.</t>
  </si>
  <si>
    <t xml:space="preserve">Bewirtschaftungskosten gesamt p. a.</t>
  </si>
  <si>
    <t xml:space="preserve">Sektion 6: Steuer &amp; AfA</t>
  </si>
  <si>
    <t xml:space="preserve">Gebäudeanteil (%)</t>
  </si>
  <si>
    <t xml:space="preserve">Gebäudewert für AfA</t>
  </si>
  <si>
    <t xml:space="preserve">AfA-Satz (%)</t>
  </si>
  <si>
    <t xml:space="preserve">AfA-Betrag jährlich</t>
  </si>
  <si>
    <t xml:space="preserve">Persönlicher Grenzsteuersatz (%)</t>
  </si>
  <si>
    <t xml:space="preserve">Werbungskosten (Sonstige p.a.)</t>
  </si>
  <si>
    <t xml:space="preserve">Kategorie</t>
  </si>
  <si>
    <t xml:space="preserve">Jahr 1</t>
  </si>
  <si>
    <t xml:space="preserve">Jahr 2</t>
  </si>
  <si>
    <t xml:space="preserve">Jahr 3</t>
  </si>
  <si>
    <t xml:space="preserve">Jahr 4</t>
  </si>
  <si>
    <t xml:space="preserve">Jahr 5</t>
  </si>
  <si>
    <t xml:space="preserve">Jahr 6</t>
  </si>
  <si>
    <t xml:space="preserve">Jahr 7</t>
  </si>
  <si>
    <t xml:space="preserve">Jahr 8</t>
  </si>
  <si>
    <t xml:space="preserve">Jahr 9</t>
  </si>
  <si>
    <t xml:space="preserve">Jahr 10</t>
  </si>
  <si>
    <t xml:space="preserve">Jahr 11</t>
  </si>
  <si>
    <t xml:space="preserve">Jahr 12</t>
  </si>
  <si>
    <t xml:space="preserve">Jahr 13</t>
  </si>
  <si>
    <t xml:space="preserve">Jahr 14</t>
  </si>
  <si>
    <t xml:space="preserve">Jahr 15</t>
  </si>
  <si>
    <t xml:space="preserve">Jahr 16</t>
  </si>
  <si>
    <t xml:space="preserve">Jahr 17</t>
  </si>
  <si>
    <t xml:space="preserve">Jahr 18</t>
  </si>
  <si>
    <t xml:space="preserve">Jahr 19</t>
  </si>
  <si>
    <t xml:space="preserve">Jahr 20</t>
  </si>
  <si>
    <t xml:space="preserve">Jahr 21</t>
  </si>
  <si>
    <t xml:space="preserve">Jahr 22</t>
  </si>
  <si>
    <t xml:space="preserve">Jahr 23</t>
  </si>
  <si>
    <t xml:space="preserve">Jahr 24</t>
  </si>
  <si>
    <t xml:space="preserve">Jahr 25</t>
  </si>
  <si>
    <t xml:space="preserve">Jahr 26</t>
  </si>
  <si>
    <t xml:space="preserve">Jahr 27</t>
  </si>
  <si>
    <t xml:space="preserve">Jahr 28</t>
  </si>
  <si>
    <t xml:space="preserve">Jahr 29</t>
  </si>
  <si>
    <t xml:space="preserve">Jahr 30</t>
  </si>
  <si>
    <t xml:space="preserve">1. Potenzielle Mieteinnahmen p.a.</t>
  </si>
  <si>
    <t xml:space="preserve">2. Bewirtschaftungskosten p.a.</t>
  </si>
  <si>
    <t xml:space="preserve">3. Zinsaufwand p.a.</t>
  </si>
  <si>
    <t xml:space="preserve">4. AfA Abschreibung</t>
  </si>
  <si>
    <t xml:space="preserve">5. Zu versteuernder Gewinn/Verlust</t>
  </si>
  <si>
    <t xml:space="preserve">6. Steuereffekt (+ Ersparnis / - Last)</t>
  </si>
  <si>
    <t xml:space="preserve">7. Zins &amp; Tilgung (Annuität, konstant)</t>
  </si>
  <si>
    <t xml:space="preserve">8. Netto-Cashflow nach Steuern</t>
  </si>
  <si>
    <t xml:space="preserve">9. Restschuld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</si>
</sst>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.0%"/>
    <numFmt numFmtId="167" formatCode="#,##0&quot; €&quot;"/>
    <numFmt numFmtId="168" formatCode="0.00\ %"/>
    <numFmt numFmtId="169" formatCode="#,##0.0"/>
    <numFmt numFmtId="170" formatCode="#,##0.00&quot; €&quot;"/>
    <numFmt numFmtId="171" formatCode="@"/>
    <numFmt numFmtId="172" formatCode="#,##0.00\ [$€-407];[RED]\-#,##0.00\ [$€-407]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B4C7DC"/>
        <bgColor rgb="FF99CCFF"/>
      </patternFill>
    </fill>
    <fill>
      <patternFill patternType="solid">
        <fgColor rgb="FF729FCF"/>
        <bgColor rgb="FF969696"/>
      </patternFill>
    </fill>
    <fill>
      <patternFill patternType="solid">
        <fgColor rgb="FFE2EFDA"/>
        <bgColor rgb="FFF2F4F7"/>
      </patternFill>
    </fill>
    <fill>
      <patternFill patternType="solid">
        <fgColor rgb="FFF2F4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7" fillId="5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6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6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2" fontId="6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6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" fillId="6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729FCF"/>
      <rgbColor rgb="FF993366"/>
      <rgbColor rgb="FFF2F4F7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94"/>
  <sheetViews>
    <sheetView showFormulas="false" showGridLines="true" showRowColHeaders="true" showZeros="true" rightToLeft="false" tabSelected="true" showOutlineSymbols="true" defaultGridColor="true" view="normal" topLeftCell="A60" colorId="64" zoomScale="100" zoomScaleNormal="100" zoomScalePageLayoutView="100" workbookViewId="0">
      <selection pane="topLeft" activeCell="B82" activeCellId="0" sqref="B8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6"/>
    <col collapsed="false" customWidth="true" hidden="false" outlineLevel="0" max="5" min="2" style="1" width="13.99"/>
    <col collapsed="false" customWidth="true" hidden="false" outlineLevel="0" max="6" min="6" style="1" width="14"/>
    <col collapsed="false" customWidth="true" hidden="false" outlineLevel="0" max="7" min="7" style="1" width="13.99"/>
    <col collapsed="false" customWidth="true" hidden="false" outlineLevel="0" max="31" min="8" style="1" width="14"/>
  </cols>
  <sheetData>
    <row r="1" s="3" customFormat="true" ht="39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customFormat="false" ht="15" hidden="false" customHeight="false" outlineLevel="0" collapsed="false">
      <c r="A2" s="4" t="s">
        <v>1</v>
      </c>
      <c r="B2" s="5"/>
      <c r="C2" s="6"/>
      <c r="D2" s="6"/>
      <c r="E2" s="6"/>
      <c r="F2" s="6"/>
      <c r="G2" s="6"/>
      <c r="H2" s="6"/>
    </row>
    <row r="3" customFormat="false" ht="15" hidden="false" customHeight="false" outlineLevel="0" collapsed="false">
      <c r="A3" s="7"/>
      <c r="B3" s="8"/>
      <c r="C3" s="9"/>
      <c r="D3" s="9"/>
      <c r="E3" s="9"/>
      <c r="F3" s="9"/>
      <c r="G3" s="9"/>
      <c r="H3" s="9"/>
      <c r="I3" s="9"/>
    </row>
    <row r="4" customFormat="false" ht="15" hidden="false" customHeight="false" outlineLevel="0" collapsed="false">
      <c r="A4" s="10" t="s">
        <v>2</v>
      </c>
      <c r="B4" s="10"/>
    </row>
    <row r="5" customFormat="false" ht="15" hidden="false" customHeight="false" outlineLevel="0" collapsed="false">
      <c r="A5" s="11" t="s">
        <v>3</v>
      </c>
      <c r="B5" s="12" t="n">
        <v>10</v>
      </c>
    </row>
    <row r="6" customFormat="false" ht="15" hidden="false" customHeight="false" outlineLevel="0" collapsed="false">
      <c r="A6" s="11" t="s">
        <v>4</v>
      </c>
      <c r="B6" s="13" t="n">
        <v>0.025</v>
      </c>
    </row>
    <row r="7" customFormat="false" ht="15" hidden="false" customHeight="false" outlineLevel="0" collapsed="false">
      <c r="A7" s="11" t="s">
        <v>5</v>
      </c>
      <c r="B7" s="14" t="n">
        <f aca="false">B20*(1+B6)^B5</f>
        <v>448029.590468725</v>
      </c>
    </row>
    <row r="8" customFormat="false" ht="15" hidden="false" customHeight="false" outlineLevel="0" collapsed="false">
      <c r="A8" s="11" t="s">
        <v>6</v>
      </c>
      <c r="B8" s="14" t="n">
        <f aca="false">HLOOKUP("Jahr "&amp;B5,$B$85:$AE$94,10,FALSE())</f>
        <v>243728.930099432</v>
      </c>
    </row>
    <row r="9" customFormat="false" ht="15" hidden="false" customHeight="false" outlineLevel="0" collapsed="false">
      <c r="A9" s="11" t="s">
        <v>7</v>
      </c>
      <c r="B9" s="14" t="n">
        <f aca="false">B7-B8-B47+SUM(B93:INDEX(B93:AE93,1,B5))</f>
        <v>83879.6637067918</v>
      </c>
    </row>
    <row r="10" customFormat="false" ht="15" hidden="false" customHeight="false" outlineLevel="0" collapsed="false">
      <c r="A10" s="11"/>
      <c r="B10" s="14"/>
    </row>
    <row r="11" customFormat="false" ht="15" hidden="false" customHeight="false" outlineLevel="0" collapsed="false">
      <c r="A11" s="10" t="s">
        <v>8</v>
      </c>
      <c r="B11" s="10"/>
    </row>
    <row r="12" customFormat="false" ht="15" hidden="false" customHeight="false" outlineLevel="0" collapsed="false">
      <c r="A12" s="11" t="s">
        <v>9</v>
      </c>
      <c r="B12" s="15" t="n">
        <f aca="false">(B59*12)/B20</f>
        <v>0.0342857142857143</v>
      </c>
    </row>
    <row r="13" customFormat="false" ht="15" hidden="false" customHeight="false" outlineLevel="0" collapsed="false">
      <c r="A13" s="11" t="s">
        <v>10</v>
      </c>
      <c r="B13" s="15" t="n">
        <f aca="false">(B59*12-B74)/B43</f>
        <v>0.0239430787185182</v>
      </c>
    </row>
    <row r="14" customFormat="false" ht="15" hidden="false" customHeight="false" outlineLevel="0" collapsed="false">
      <c r="A14" s="11" t="s">
        <v>11</v>
      </c>
      <c r="B14" s="15" t="n">
        <f aca="false">B93/B47</f>
        <v>-0.06185166875</v>
      </c>
    </row>
    <row r="15" customFormat="false" ht="15" hidden="false" customHeight="false" outlineLevel="0" collapsed="false">
      <c r="A15" s="11" t="s">
        <v>12</v>
      </c>
      <c r="B15" s="16" t="n">
        <f aca="false">B20/(B59*12)</f>
        <v>29.1666666666667</v>
      </c>
    </row>
    <row r="16" customFormat="false" ht="15" hidden="false" customHeight="false" outlineLevel="0" collapsed="false">
      <c r="A16" s="17" t="s">
        <v>13</v>
      </c>
      <c r="B16" s="18" t="n">
        <f aca="false">B93/12</f>
        <v>-412.344458333334</v>
      </c>
    </row>
    <row r="17" customFormat="false" ht="15" hidden="false" customHeight="false" outlineLevel="0" collapsed="false">
      <c r="A17" s="11" t="s">
        <v>14</v>
      </c>
      <c r="B17" s="19" t="n">
        <f aca="false">(B74+B52)/12</f>
        <v>1664.53958333333</v>
      </c>
    </row>
    <row r="19" customFormat="false" ht="15" hidden="false" customHeight="false" outlineLevel="0" collapsed="false">
      <c r="A19" s="10" t="s">
        <v>15</v>
      </c>
      <c r="B19" s="10"/>
    </row>
    <row r="20" customFormat="false" ht="15" hidden="false" customHeight="false" outlineLevel="0" collapsed="false">
      <c r="A20" s="11" t="s">
        <v>16</v>
      </c>
      <c r="B20" s="20" t="n">
        <v>350000</v>
      </c>
    </row>
    <row r="21" customFormat="false" ht="15" hidden="false" customHeight="false" outlineLevel="0" collapsed="false">
      <c r="A21" s="11" t="s">
        <v>17</v>
      </c>
      <c r="B21" s="12" t="n">
        <v>80</v>
      </c>
    </row>
    <row r="22" customFormat="false" ht="15" hidden="false" customHeight="false" outlineLevel="0" collapsed="false">
      <c r="A22" s="11" t="s">
        <v>18</v>
      </c>
      <c r="B22" s="19" t="n">
        <f aca="false">IF(B21&gt;0,B20/B21,0)</f>
        <v>4375</v>
      </c>
    </row>
    <row r="23" customFormat="false" ht="15" hidden="false" customHeight="false" outlineLevel="0" collapsed="false">
      <c r="A23" s="11" t="s">
        <v>19</v>
      </c>
      <c r="B23" s="12" t="n">
        <v>200</v>
      </c>
    </row>
    <row r="24" customFormat="false" ht="15" hidden="false" customHeight="false" outlineLevel="0" collapsed="false">
      <c r="A24" s="11" t="s">
        <v>20</v>
      </c>
      <c r="B24" s="21" t="n">
        <v>2005</v>
      </c>
    </row>
    <row r="25" customFormat="false" ht="15" hidden="false" customHeight="false" outlineLevel="0" collapsed="false">
      <c r="A25" s="11" t="s">
        <v>21</v>
      </c>
      <c r="B25" s="22" t="s">
        <v>22</v>
      </c>
    </row>
    <row r="26" customFormat="false" ht="15" hidden="false" customHeight="false" outlineLevel="0" collapsed="false">
      <c r="A26" s="11" t="s">
        <v>23</v>
      </c>
      <c r="B26" s="22" t="s">
        <v>24</v>
      </c>
    </row>
    <row r="27" customFormat="false" ht="15" hidden="false" customHeight="false" outlineLevel="0" collapsed="false">
      <c r="A27" s="11" t="s">
        <v>25</v>
      </c>
      <c r="B27" s="22" t="s">
        <v>26</v>
      </c>
    </row>
    <row r="29" customFormat="false" ht="15" hidden="false" customHeight="false" outlineLevel="0" collapsed="false">
      <c r="A29" s="10" t="s">
        <v>27</v>
      </c>
      <c r="B29" s="10"/>
    </row>
    <row r="30" customFormat="false" ht="15" hidden="false" customHeight="false" outlineLevel="0" collapsed="false">
      <c r="A30" s="11" t="s">
        <v>28</v>
      </c>
      <c r="B30" s="13" t="n">
        <v>0.035</v>
      </c>
    </row>
    <row r="31" customFormat="false" ht="15" hidden="false" customHeight="false" outlineLevel="0" collapsed="false">
      <c r="A31" s="11" t="s">
        <v>29</v>
      </c>
      <c r="B31" s="14" t="n">
        <f aca="false">B20*B30</f>
        <v>12250</v>
      </c>
    </row>
    <row r="32" customFormat="false" ht="15" hidden="false" customHeight="false" outlineLevel="0" collapsed="false">
      <c r="A32" s="11" t="s">
        <v>30</v>
      </c>
      <c r="B32" s="13" t="n">
        <v>0.015</v>
      </c>
    </row>
    <row r="33" customFormat="false" ht="15" hidden="false" customHeight="false" outlineLevel="0" collapsed="false">
      <c r="A33" s="11" t="s">
        <v>31</v>
      </c>
      <c r="B33" s="14" t="n">
        <f aca="false">B20*B32</f>
        <v>5250</v>
      </c>
    </row>
    <row r="34" customFormat="false" ht="15" hidden="false" customHeight="false" outlineLevel="0" collapsed="false">
      <c r="A34" s="11" t="s">
        <v>32</v>
      </c>
      <c r="B34" s="13" t="n">
        <v>0.005</v>
      </c>
    </row>
    <row r="35" customFormat="false" ht="15" hidden="false" customHeight="false" outlineLevel="0" collapsed="false">
      <c r="A35" s="11" t="s">
        <v>33</v>
      </c>
      <c r="B35" s="14" t="n">
        <f aca="false">B20*B34</f>
        <v>1750</v>
      </c>
    </row>
    <row r="36" customFormat="false" ht="15" hidden="false" customHeight="false" outlineLevel="0" collapsed="false">
      <c r="A36" s="11" t="s">
        <v>34</v>
      </c>
      <c r="B36" s="23" t="n">
        <v>0.0357</v>
      </c>
    </row>
    <row r="37" customFormat="false" ht="15" hidden="false" customHeight="false" outlineLevel="0" collapsed="false">
      <c r="A37" s="11" t="s">
        <v>35</v>
      </c>
      <c r="B37" s="14" t="n">
        <f aca="false">B20*B36</f>
        <v>12495</v>
      </c>
    </row>
    <row r="38" customFormat="false" ht="15" hidden="false" customHeight="false" outlineLevel="0" collapsed="false">
      <c r="A38" s="11" t="s">
        <v>36</v>
      </c>
      <c r="B38" s="24" t="n">
        <v>1200</v>
      </c>
    </row>
    <row r="39" customFormat="false" ht="15" hidden="false" customHeight="false" outlineLevel="0" collapsed="false">
      <c r="A39" s="11" t="s">
        <v>37</v>
      </c>
      <c r="B39" s="24" t="n">
        <v>15000</v>
      </c>
    </row>
    <row r="40" customFormat="false" ht="15" hidden="false" customHeight="false" outlineLevel="0" collapsed="false">
      <c r="A40" s="11" t="s">
        <v>38</v>
      </c>
      <c r="B40" s="24" t="n">
        <v>500</v>
      </c>
    </row>
    <row r="41" customFormat="false" ht="15" hidden="false" customHeight="false" outlineLevel="0" collapsed="false">
      <c r="A41" s="11" t="s">
        <v>39</v>
      </c>
      <c r="B41" s="25" t="n">
        <f aca="false">SUM(B31,B33,B35,B37,B38,B39,B40)</f>
        <v>48445</v>
      </c>
    </row>
    <row r="42" customFormat="false" ht="15" hidden="false" customHeight="false" outlineLevel="0" collapsed="false">
      <c r="A42" s="11" t="s">
        <v>40</v>
      </c>
      <c r="B42" s="26" t="n">
        <f aca="false">IF(B20&gt;0,B41/B20,0)</f>
        <v>0.138414285714286</v>
      </c>
    </row>
    <row r="43" customFormat="false" ht="15" hidden="false" customHeight="false" outlineLevel="0" collapsed="false">
      <c r="A43" s="11" t="s">
        <v>41</v>
      </c>
      <c r="B43" s="25" t="n">
        <f aca="false">B20+B41</f>
        <v>398445</v>
      </c>
    </row>
    <row r="45" customFormat="false" ht="15" hidden="false" customHeight="false" outlineLevel="0" collapsed="false">
      <c r="A45" s="10" t="s">
        <v>42</v>
      </c>
      <c r="B45" s="10"/>
    </row>
    <row r="46" customFormat="false" ht="15" hidden="false" customHeight="false" outlineLevel="0" collapsed="false">
      <c r="A46" s="11" t="s">
        <v>43</v>
      </c>
      <c r="B46" s="27" t="n">
        <f aca="false">B47/B43</f>
        <v>0.200780534327197</v>
      </c>
    </row>
    <row r="47" customFormat="false" ht="15" hidden="false" customHeight="false" outlineLevel="0" collapsed="false">
      <c r="A47" s="11" t="s">
        <v>44</v>
      </c>
      <c r="B47" s="28" t="n">
        <v>80000</v>
      </c>
    </row>
    <row r="48" customFormat="false" ht="15" hidden="false" customHeight="false" outlineLevel="0" collapsed="false">
      <c r="A48" s="11" t="s">
        <v>45</v>
      </c>
      <c r="B48" s="14" t="n">
        <f aca="false">B43-B47</f>
        <v>318445</v>
      </c>
    </row>
    <row r="49" customFormat="false" ht="15" hidden="false" customHeight="false" outlineLevel="0" collapsed="false">
      <c r="A49" s="11" t="s">
        <v>46</v>
      </c>
      <c r="B49" s="23" t="n">
        <v>0.035</v>
      </c>
    </row>
    <row r="50" customFormat="false" ht="15" hidden="false" customHeight="false" outlineLevel="0" collapsed="false">
      <c r="A50" s="11" t="s">
        <v>47</v>
      </c>
      <c r="B50" s="13" t="n">
        <v>0.02</v>
      </c>
    </row>
    <row r="51" customFormat="false" ht="15" hidden="false" customHeight="false" outlineLevel="0" collapsed="false">
      <c r="A51" s="11" t="s">
        <v>48</v>
      </c>
      <c r="B51" s="19" t="n">
        <f aca="false">B48*(B49+B50)/12</f>
        <v>1459.53958333333</v>
      </c>
    </row>
    <row r="52" customFormat="false" ht="15" hidden="false" customHeight="false" outlineLevel="0" collapsed="false">
      <c r="A52" s="11" t="s">
        <v>49</v>
      </c>
      <c r="B52" s="14" t="n">
        <f aca="false">B51*12</f>
        <v>17514.475</v>
      </c>
    </row>
    <row r="53" customFormat="false" ht="15" hidden="false" customHeight="false" outlineLevel="0" collapsed="false">
      <c r="A53" s="11" t="s">
        <v>50</v>
      </c>
      <c r="B53" s="12" t="n">
        <v>10</v>
      </c>
    </row>
    <row r="54" customFormat="false" ht="15" hidden="false" customHeight="false" outlineLevel="0" collapsed="false">
      <c r="A54" s="11" t="s">
        <v>51</v>
      </c>
      <c r="B54" s="12" t="n">
        <v>30</v>
      </c>
    </row>
    <row r="55" customFormat="false" ht="15" hidden="false" customHeight="false" outlineLevel="0" collapsed="false">
      <c r="A55" s="11" t="s">
        <v>52</v>
      </c>
      <c r="B55" s="27" t="n">
        <f aca="false">IF(B20&gt;0,B48/B20,0)</f>
        <v>0.909842857142857</v>
      </c>
    </row>
    <row r="57" customFormat="false" ht="15" hidden="false" customHeight="false" outlineLevel="0" collapsed="false">
      <c r="A57" s="10" t="s">
        <v>53</v>
      </c>
      <c r="B57" s="10"/>
    </row>
    <row r="58" customFormat="false" ht="15" hidden="false" customHeight="false" outlineLevel="0" collapsed="false">
      <c r="A58" s="11" t="s">
        <v>54</v>
      </c>
      <c r="B58" s="29" t="n">
        <v>12.5</v>
      </c>
    </row>
    <row r="59" customFormat="false" ht="15" hidden="false" customHeight="false" outlineLevel="0" collapsed="false">
      <c r="A59" s="11" t="s">
        <v>55</v>
      </c>
      <c r="B59" s="30" t="n">
        <f aca="false">B21*B58</f>
        <v>1000</v>
      </c>
    </row>
    <row r="60" customFormat="false" ht="15" hidden="false" customHeight="false" outlineLevel="0" collapsed="false">
      <c r="A60" s="11" t="s">
        <v>56</v>
      </c>
      <c r="B60" s="24" t="n">
        <v>1200</v>
      </c>
    </row>
    <row r="61" customFormat="false" ht="15" hidden="false" customHeight="false" outlineLevel="0" collapsed="false">
      <c r="A61" s="11" t="s">
        <v>57</v>
      </c>
      <c r="B61" s="13" t="n">
        <v>0.02</v>
      </c>
    </row>
    <row r="62" customFormat="false" ht="15" hidden="false" customHeight="false" outlineLevel="0" collapsed="false">
      <c r="A62" s="11" t="s">
        <v>58</v>
      </c>
      <c r="B62" s="14" t="n">
        <f aca="false">B59*12*B61</f>
        <v>240</v>
      </c>
    </row>
    <row r="63" customFormat="false" ht="15" hidden="false" customHeight="false" outlineLevel="0" collapsed="false">
      <c r="A63" s="11" t="s">
        <v>59</v>
      </c>
      <c r="B63" s="14" t="n">
        <f aca="false">(B59*12)-B62</f>
        <v>11760</v>
      </c>
    </row>
    <row r="64" customFormat="false" ht="15" hidden="false" customHeight="false" outlineLevel="0" collapsed="false">
      <c r="A64" s="11" t="s">
        <v>60</v>
      </c>
      <c r="B64" s="13" t="n">
        <v>0.02</v>
      </c>
    </row>
    <row r="66" customFormat="false" ht="15" hidden="false" customHeight="false" outlineLevel="0" collapsed="false">
      <c r="A66" s="10" t="s">
        <v>61</v>
      </c>
      <c r="B66" s="10"/>
    </row>
    <row r="67" customFormat="false" ht="15" hidden="false" customHeight="false" outlineLevel="0" collapsed="false">
      <c r="A67" s="11" t="s">
        <v>62</v>
      </c>
      <c r="B67" s="24" t="n">
        <v>30</v>
      </c>
    </row>
    <row r="68" customFormat="false" ht="15" hidden="false" customHeight="false" outlineLevel="0" collapsed="false">
      <c r="A68" s="11" t="s">
        <v>63</v>
      </c>
      <c r="B68" s="24" t="n">
        <v>800</v>
      </c>
    </row>
    <row r="69" customFormat="false" ht="15" hidden="false" customHeight="false" outlineLevel="0" collapsed="false">
      <c r="A69" s="11" t="s">
        <v>64</v>
      </c>
      <c r="B69" s="24" t="n">
        <v>400</v>
      </c>
    </row>
    <row r="70" customFormat="false" ht="15" hidden="false" customHeight="false" outlineLevel="0" collapsed="false">
      <c r="A70" s="11" t="s">
        <v>65</v>
      </c>
      <c r="B70" s="24" t="n">
        <v>250</v>
      </c>
    </row>
    <row r="71" customFormat="false" ht="15" hidden="false" customHeight="false" outlineLevel="0" collapsed="false">
      <c r="A71" s="11" t="s">
        <v>66</v>
      </c>
      <c r="B71" s="24" t="n">
        <v>300</v>
      </c>
    </row>
    <row r="72" customFormat="false" ht="15" hidden="false" customHeight="false" outlineLevel="0" collapsed="false">
      <c r="A72" s="11" t="s">
        <v>67</v>
      </c>
      <c r="B72" s="24" t="n">
        <v>200</v>
      </c>
    </row>
    <row r="73" customFormat="false" ht="15" hidden="false" customHeight="false" outlineLevel="0" collapsed="false">
      <c r="A73" s="11" t="s">
        <v>68</v>
      </c>
      <c r="B73" s="24" t="n">
        <v>150</v>
      </c>
    </row>
    <row r="74" customFormat="false" ht="15" hidden="false" customHeight="false" outlineLevel="0" collapsed="false">
      <c r="A74" s="11" t="s">
        <v>69</v>
      </c>
      <c r="B74" s="25" t="n">
        <f aca="false">(B67*12)+B68+B69+B70+B71+B72+B73</f>
        <v>2460</v>
      </c>
    </row>
    <row r="76" customFormat="false" ht="15" hidden="false" customHeight="false" outlineLevel="0" collapsed="false">
      <c r="A76" s="10" t="s">
        <v>70</v>
      </c>
      <c r="B76" s="10"/>
    </row>
    <row r="77" customFormat="false" ht="15" hidden="false" customHeight="false" outlineLevel="0" collapsed="false">
      <c r="A77" s="11" t="s">
        <v>71</v>
      </c>
      <c r="B77" s="13" t="n">
        <v>0.8</v>
      </c>
    </row>
    <row r="78" customFormat="false" ht="15" hidden="false" customHeight="false" outlineLevel="0" collapsed="false">
      <c r="A78" s="11" t="s">
        <v>72</v>
      </c>
      <c r="B78" s="14" t="n">
        <f aca="false">B20*B77</f>
        <v>280000</v>
      </c>
    </row>
    <row r="79" customFormat="false" ht="15" hidden="false" customHeight="false" outlineLevel="0" collapsed="false">
      <c r="A79" s="11" t="s">
        <v>73</v>
      </c>
      <c r="B79" s="13" t="n">
        <v>0.02</v>
      </c>
    </row>
    <row r="80" customFormat="false" ht="15" hidden="false" customHeight="false" outlineLevel="0" collapsed="false">
      <c r="A80" s="11" t="s">
        <v>74</v>
      </c>
      <c r="B80" s="14" t="n">
        <f aca="false">B78*B79</f>
        <v>5600</v>
      </c>
    </row>
    <row r="81" customFormat="false" ht="15" hidden="false" customHeight="false" outlineLevel="0" collapsed="false">
      <c r="A81" s="11" t="s">
        <v>75</v>
      </c>
      <c r="B81" s="13" t="n">
        <v>0.42</v>
      </c>
    </row>
    <row r="82" customFormat="false" ht="15" hidden="false" customHeight="false" outlineLevel="0" collapsed="false">
      <c r="A82" s="11" t="s">
        <v>76</v>
      </c>
      <c r="B82" s="24" t="n">
        <v>200</v>
      </c>
    </row>
    <row r="85" customFormat="false" ht="15" hidden="false" customHeight="false" outlineLevel="0" collapsed="false">
      <c r="A85" s="31" t="s">
        <v>77</v>
      </c>
      <c r="B85" s="32" t="s">
        <v>78</v>
      </c>
      <c r="C85" s="32" t="s">
        <v>79</v>
      </c>
      <c r="D85" s="32" t="s">
        <v>80</v>
      </c>
      <c r="E85" s="32" t="s">
        <v>81</v>
      </c>
      <c r="F85" s="32" t="s">
        <v>82</v>
      </c>
      <c r="G85" s="32" t="s">
        <v>83</v>
      </c>
      <c r="H85" s="32" t="s">
        <v>84</v>
      </c>
      <c r="I85" s="32" t="s">
        <v>85</v>
      </c>
      <c r="J85" s="32" t="s">
        <v>86</v>
      </c>
      <c r="K85" s="32" t="s">
        <v>87</v>
      </c>
      <c r="L85" s="32" t="s">
        <v>88</v>
      </c>
      <c r="M85" s="32" t="s">
        <v>89</v>
      </c>
      <c r="N85" s="32" t="s">
        <v>90</v>
      </c>
      <c r="O85" s="32" t="s">
        <v>91</v>
      </c>
      <c r="P85" s="32" t="s">
        <v>92</v>
      </c>
      <c r="Q85" s="32" t="s">
        <v>93</v>
      </c>
      <c r="R85" s="32" t="s">
        <v>94</v>
      </c>
      <c r="S85" s="32" t="s">
        <v>95</v>
      </c>
      <c r="T85" s="32" t="s">
        <v>96</v>
      </c>
      <c r="U85" s="32" t="s">
        <v>97</v>
      </c>
      <c r="V85" s="32" t="s">
        <v>98</v>
      </c>
      <c r="W85" s="32" t="s">
        <v>99</v>
      </c>
      <c r="X85" s="32" t="s">
        <v>100</v>
      </c>
      <c r="Y85" s="32" t="s">
        <v>101</v>
      </c>
      <c r="Z85" s="32" t="s">
        <v>102</v>
      </c>
      <c r="AA85" s="32" t="s">
        <v>103</v>
      </c>
      <c r="AB85" s="32" t="s">
        <v>104</v>
      </c>
      <c r="AC85" s="32" t="s">
        <v>105</v>
      </c>
      <c r="AD85" s="32" t="s">
        <v>106</v>
      </c>
      <c r="AE85" s="32" t="s">
        <v>107</v>
      </c>
    </row>
    <row r="86" customFormat="false" ht="15" hidden="false" customHeight="false" outlineLevel="0" collapsed="false">
      <c r="A86" s="11" t="s">
        <v>108</v>
      </c>
      <c r="B86" s="14" t="n">
        <f aca="false">B59*12</f>
        <v>12000</v>
      </c>
      <c r="C86" s="14" t="n">
        <f aca="false">B86*(1+$B$64)</f>
        <v>12240</v>
      </c>
      <c r="D86" s="14" t="n">
        <f aca="false">C86*(1+$B$64)</f>
        <v>12484.8</v>
      </c>
      <c r="E86" s="14" t="n">
        <f aca="false">D86*(1+$B$64)</f>
        <v>12734.496</v>
      </c>
      <c r="F86" s="14" t="n">
        <f aca="false">E86*(1+$B$64)</f>
        <v>12989.18592</v>
      </c>
      <c r="G86" s="14" t="n">
        <f aca="false">F86*(1+$B$64)</f>
        <v>13248.9696384</v>
      </c>
      <c r="H86" s="14" t="n">
        <f aca="false">G86*(1+$B$64)</f>
        <v>13513.949031168</v>
      </c>
      <c r="I86" s="14" t="n">
        <f aca="false">H86*(1+$B$64)</f>
        <v>13784.2280117914</v>
      </c>
      <c r="J86" s="14" t="n">
        <f aca="false">I86*(1+$B$64)</f>
        <v>14059.9125720272</v>
      </c>
      <c r="K86" s="14" t="n">
        <f aca="false">J86*(1+$B$64)</f>
        <v>14341.1108234677</v>
      </c>
      <c r="L86" s="14" t="n">
        <f aca="false">K86*(1+$B$64)</f>
        <v>14627.9330399371</v>
      </c>
      <c r="M86" s="14" t="n">
        <f aca="false">L86*(1+$B$64)</f>
        <v>14920.4917007358</v>
      </c>
      <c r="N86" s="14" t="n">
        <f aca="false">M86*(1+$B$64)</f>
        <v>15218.9015347505</v>
      </c>
      <c r="O86" s="14" t="n">
        <f aca="false">N86*(1+$B$64)</f>
        <v>15523.2795654456</v>
      </c>
      <c r="P86" s="14" t="n">
        <f aca="false">O86*(1+$B$64)</f>
        <v>15833.7451567545</v>
      </c>
      <c r="Q86" s="14" t="n">
        <f aca="false">P86*(1+$B$64)</f>
        <v>16150.4200598896</v>
      </c>
      <c r="R86" s="14" t="n">
        <f aca="false">Q86*(1+$B$64)</f>
        <v>16473.4284610874</v>
      </c>
      <c r="S86" s="14" t="n">
        <f aca="false">R86*(1+$B$64)</f>
        <v>16802.8970303091</v>
      </c>
      <c r="T86" s="14" t="n">
        <f aca="false">S86*(1+$B$64)</f>
        <v>17138.9549709153</v>
      </c>
      <c r="U86" s="14" t="n">
        <f aca="false">T86*(1+$B$64)</f>
        <v>17481.7340703336</v>
      </c>
      <c r="V86" s="14" t="n">
        <f aca="false">U86*(1+$B$64)</f>
        <v>17831.3687517403</v>
      </c>
      <c r="W86" s="14" t="n">
        <f aca="false">V86*(1+$B$64)</f>
        <v>18187.9961267751</v>
      </c>
      <c r="X86" s="14" t="n">
        <f aca="false">W86*(1+$B$64)</f>
        <v>18551.7560493106</v>
      </c>
      <c r="Y86" s="14" t="n">
        <f aca="false">X86*(1+$B$64)</f>
        <v>18922.7911702968</v>
      </c>
      <c r="Z86" s="14" t="n">
        <f aca="false">Y86*(1+$B$64)</f>
        <v>19301.2469937027</v>
      </c>
      <c r="AA86" s="14" t="n">
        <f aca="false">Z86*(1+$B$64)</f>
        <v>19687.2719335768</v>
      </c>
      <c r="AB86" s="14" t="n">
        <f aca="false">AA86*(1+$B$64)</f>
        <v>20081.0173722483</v>
      </c>
      <c r="AC86" s="14" t="n">
        <f aca="false">AB86*(1+$B$64)</f>
        <v>20482.6377196933</v>
      </c>
      <c r="AD86" s="14" t="n">
        <f aca="false">AC86*(1+$B$64)</f>
        <v>20892.2904740871</v>
      </c>
      <c r="AE86" s="14" t="n">
        <f aca="false">AD86*(1+$B$64)</f>
        <v>21310.1362835689</v>
      </c>
    </row>
    <row r="87" customFormat="false" ht="15" hidden="false" customHeight="false" outlineLevel="0" collapsed="false">
      <c r="A87" s="11" t="s">
        <v>109</v>
      </c>
      <c r="B87" s="14" t="n">
        <f aca="false">B74</f>
        <v>2460</v>
      </c>
      <c r="C87" s="14" t="n">
        <f aca="false">B87*(1+0.02)</f>
        <v>2509.2</v>
      </c>
      <c r="D87" s="14" t="n">
        <f aca="false">C87*(1+0.02)</f>
        <v>2559.384</v>
      </c>
      <c r="E87" s="14" t="n">
        <f aca="false">D87*(1+0.02)</f>
        <v>2610.57168</v>
      </c>
      <c r="F87" s="14" t="n">
        <f aca="false">E87*(1+0.02)</f>
        <v>2662.7831136</v>
      </c>
      <c r="G87" s="14" t="n">
        <f aca="false">F87*(1+0.02)</f>
        <v>2716.038775872</v>
      </c>
      <c r="H87" s="14" t="n">
        <f aca="false">G87*(1+0.02)</f>
        <v>2770.35955138944</v>
      </c>
      <c r="I87" s="14" t="n">
        <f aca="false">H87*(1+0.02)</f>
        <v>2825.76674241723</v>
      </c>
      <c r="J87" s="14" t="n">
        <f aca="false">I87*(1+0.02)</f>
        <v>2882.28207726557</v>
      </c>
      <c r="K87" s="14" t="n">
        <f aca="false">J87*(1+0.02)</f>
        <v>2939.92771881089</v>
      </c>
      <c r="L87" s="14" t="n">
        <f aca="false">K87*(1+0.02)</f>
        <v>2998.7262731871</v>
      </c>
      <c r="M87" s="14" t="n">
        <f aca="false">L87*(1+0.02)</f>
        <v>3058.70079865084</v>
      </c>
      <c r="N87" s="14" t="n">
        <f aca="false">M87*(1+0.02)</f>
        <v>3119.87481462386</v>
      </c>
      <c r="O87" s="14" t="n">
        <f aca="false">N87*(1+0.02)</f>
        <v>3182.27231091634</v>
      </c>
      <c r="P87" s="14" t="n">
        <f aca="false">O87*(1+0.02)</f>
        <v>3245.91775713467</v>
      </c>
      <c r="Q87" s="14" t="n">
        <f aca="false">P87*(1+0.02)</f>
        <v>3310.83611227736</v>
      </c>
      <c r="R87" s="14" t="n">
        <f aca="false">Q87*(1+0.02)</f>
        <v>3377.05283452291</v>
      </c>
      <c r="S87" s="14" t="n">
        <f aca="false">R87*(1+0.02)</f>
        <v>3444.59389121337</v>
      </c>
      <c r="T87" s="14" t="n">
        <f aca="false">S87*(1+0.02)</f>
        <v>3513.48576903763</v>
      </c>
      <c r="U87" s="14" t="n">
        <f aca="false">T87*(1+0.02)</f>
        <v>3583.75548441839</v>
      </c>
      <c r="V87" s="14" t="n">
        <f aca="false">U87*(1+0.02)</f>
        <v>3655.43059410675</v>
      </c>
      <c r="W87" s="14" t="n">
        <f aca="false">V87*(1+0.02)</f>
        <v>3728.53920598889</v>
      </c>
      <c r="X87" s="14" t="n">
        <f aca="false">W87*(1+0.02)</f>
        <v>3803.10999010867</v>
      </c>
      <c r="Y87" s="14" t="n">
        <f aca="false">X87*(1+0.02)</f>
        <v>3879.17218991084</v>
      </c>
      <c r="Z87" s="14" t="n">
        <f aca="false">Y87*(1+0.02)</f>
        <v>3956.75563370906</v>
      </c>
      <c r="AA87" s="14" t="n">
        <f aca="false">Z87*(1+0.02)</f>
        <v>4035.89074638324</v>
      </c>
      <c r="AB87" s="14" t="n">
        <f aca="false">AA87*(1+0.02)</f>
        <v>4116.6085613109</v>
      </c>
      <c r="AC87" s="14" t="n">
        <f aca="false">AB87*(1+0.02)</f>
        <v>4198.94073253712</v>
      </c>
      <c r="AD87" s="14" t="n">
        <f aca="false">AC87*(1+0.02)</f>
        <v>4282.91954718786</v>
      </c>
      <c r="AE87" s="14" t="n">
        <f aca="false">AD87*(1+0.02)</f>
        <v>4368.57793813162</v>
      </c>
    </row>
    <row r="88" customFormat="false" ht="15" hidden="false" customHeight="false" outlineLevel="0" collapsed="false">
      <c r="A88" s="11" t="s">
        <v>110</v>
      </c>
      <c r="B88" s="14" t="n">
        <f aca="false">B48*B49</f>
        <v>11145.575</v>
      </c>
      <c r="C88" s="14" t="n">
        <f aca="false">IF(B94&gt;0,B94*$B$49,0)</f>
        <v>10922.6635</v>
      </c>
      <c r="D88" s="14" t="n">
        <f aca="false">IF(C94&gt;0,C94*$B$49,0)</f>
        <v>10691.9500975</v>
      </c>
      <c r="E88" s="14" t="n">
        <f aca="false">IF(D94&gt;0,D94*$B$49,0)</f>
        <v>10453.1617259125</v>
      </c>
      <c r="F88" s="14" t="n">
        <f aca="false">IF(E94&gt;0,E94*$B$49,0)</f>
        <v>10206.0157613194</v>
      </c>
      <c r="G88" s="14" t="n">
        <f aca="false">IF(F94&gt;0,F94*$B$49,0)</f>
        <v>9950.21968796562</v>
      </c>
      <c r="H88" s="14" t="n">
        <f aca="false">IF(G94&gt;0,G94*$B$49,0)</f>
        <v>9685.47075204442</v>
      </c>
      <c r="I88" s="14" t="n">
        <f aca="false">IF(H94&gt;0,H94*$B$49,0)</f>
        <v>9411.45560336597</v>
      </c>
      <c r="J88" s="14" t="n">
        <f aca="false">IF(I94&gt;0,I94*$B$49,0)</f>
        <v>9127.84992448378</v>
      </c>
      <c r="K88" s="14" t="n">
        <f aca="false">IF(J94&gt;0,J94*$B$49,0)</f>
        <v>8834.31804684071</v>
      </c>
      <c r="L88" s="14" t="n">
        <f aca="false">IF(K94&gt;0,K94*$B$49,0)</f>
        <v>8530.51255348014</v>
      </c>
      <c r="M88" s="14" t="n">
        <f aca="false">IF(L94&gt;0,L94*$B$49,0)</f>
        <v>8216.07386785194</v>
      </c>
      <c r="N88" s="14" t="n">
        <f aca="false">IF(M94&gt;0,M94*$B$49,0)</f>
        <v>7890.62982822676</v>
      </c>
      <c r="O88" s="14" t="n">
        <f aca="false">IF(N94&gt;0,N94*$B$49,0)</f>
        <v>7553.79524721469</v>
      </c>
      <c r="P88" s="14" t="n">
        <f aca="false">IF(O94&gt;0,O94*$B$49,0)</f>
        <v>7205.17145586721</v>
      </c>
      <c r="Q88" s="14" t="n">
        <f aca="false">IF(P94&gt;0,P94*$B$49,0)</f>
        <v>6844.34583182256</v>
      </c>
      <c r="R88" s="14" t="n">
        <f aca="false">IF(Q94&gt;0,Q94*$B$49,0)</f>
        <v>6470.89131093635</v>
      </c>
      <c r="S88" s="14" t="n">
        <f aca="false">IF(R94&gt;0,R94*$B$49,0)</f>
        <v>6084.36588181912</v>
      </c>
      <c r="T88" s="14" t="n">
        <f aca="false">IF(S94&gt;0,S94*$B$49,0)</f>
        <v>5684.31206268279</v>
      </c>
      <c r="U88" s="14" t="n">
        <f aca="false">IF(T94&gt;0,T94*$B$49,0)</f>
        <v>5270.25635987669</v>
      </c>
      <c r="V88" s="14" t="n">
        <f aca="false">IF(U94&gt;0,U94*$B$49,0)</f>
        <v>4841.70870747237</v>
      </c>
      <c r="W88" s="14" t="n">
        <f aca="false">IF(V94&gt;0,V94*$B$49,0)</f>
        <v>4398.16188723391</v>
      </c>
      <c r="X88" s="14" t="n">
        <f aca="false">IF(W94&gt;0,W94*$B$49,0)</f>
        <v>3939.09092828709</v>
      </c>
      <c r="Y88" s="14" t="n">
        <f aca="false">IF(X94&gt;0,X94*$B$49,0)</f>
        <v>3463.95248577714</v>
      </c>
      <c r="Z88" s="14" t="n">
        <f aca="false">IF(Y94&gt;0,Y94*$B$49,0)</f>
        <v>2972.18419777934</v>
      </c>
      <c r="AA88" s="14" t="n">
        <f aca="false">IF(Z94&gt;0,Z94*$B$49,0)</f>
        <v>2463.20401970162</v>
      </c>
      <c r="AB88" s="14" t="n">
        <f aca="false">IF(AA94&gt;0,AA94*$B$49,0)</f>
        <v>1936.40953539117</v>
      </c>
      <c r="AC88" s="14" t="n">
        <f aca="false">IF(AB94&gt;0,AB94*$B$49,0)</f>
        <v>1391.17724412987</v>
      </c>
      <c r="AD88" s="14" t="n">
        <f aca="false">IF(AC94&gt;0,AC94*$B$49,0)</f>
        <v>826.86182267441</v>
      </c>
      <c r="AE88" s="14" t="n">
        <f aca="false">IF(AD94&gt;0,AD94*$B$49,0)</f>
        <v>242.795361468015</v>
      </c>
    </row>
    <row r="89" customFormat="false" ht="15" hidden="false" customHeight="false" outlineLevel="0" collapsed="false">
      <c r="A89" s="11" t="s">
        <v>111</v>
      </c>
      <c r="B89" s="14" t="n">
        <f aca="false">B80</f>
        <v>5600</v>
      </c>
      <c r="C89" s="14" t="n">
        <f aca="false">B80</f>
        <v>5600</v>
      </c>
      <c r="D89" s="14" t="n">
        <f aca="false">B80</f>
        <v>5600</v>
      </c>
      <c r="E89" s="14" t="n">
        <f aca="false">B80</f>
        <v>5600</v>
      </c>
      <c r="F89" s="14" t="n">
        <f aca="false">B80</f>
        <v>5600</v>
      </c>
      <c r="G89" s="14" t="n">
        <f aca="false">B80</f>
        <v>5600</v>
      </c>
      <c r="H89" s="14" t="n">
        <f aca="false">B80</f>
        <v>5600</v>
      </c>
      <c r="I89" s="14" t="n">
        <f aca="false">B80</f>
        <v>5600</v>
      </c>
      <c r="J89" s="14" t="n">
        <f aca="false">B80</f>
        <v>5600</v>
      </c>
      <c r="K89" s="14" t="n">
        <f aca="false">B80</f>
        <v>5600</v>
      </c>
      <c r="L89" s="14" t="n">
        <f aca="false">B80</f>
        <v>5600</v>
      </c>
      <c r="M89" s="14" t="n">
        <f aca="false">B80</f>
        <v>5600</v>
      </c>
      <c r="N89" s="14" t="n">
        <f aca="false">B80</f>
        <v>5600</v>
      </c>
      <c r="O89" s="14" t="n">
        <f aca="false">B80</f>
        <v>5600</v>
      </c>
      <c r="P89" s="14" t="n">
        <f aca="false">B80</f>
        <v>5600</v>
      </c>
      <c r="Q89" s="14" t="n">
        <f aca="false">B80</f>
        <v>5600</v>
      </c>
      <c r="R89" s="14" t="n">
        <f aca="false">B80</f>
        <v>5600</v>
      </c>
      <c r="S89" s="14" t="n">
        <f aca="false">B80</f>
        <v>5600</v>
      </c>
      <c r="T89" s="14" t="n">
        <f aca="false">B80</f>
        <v>5600</v>
      </c>
      <c r="U89" s="14" t="n">
        <f aca="false">B80</f>
        <v>5600</v>
      </c>
      <c r="V89" s="14" t="n">
        <f aca="false">B80</f>
        <v>5600</v>
      </c>
      <c r="W89" s="14" t="n">
        <f aca="false">B80</f>
        <v>5600</v>
      </c>
      <c r="X89" s="14" t="n">
        <f aca="false">B80</f>
        <v>5600</v>
      </c>
      <c r="Y89" s="14" t="n">
        <f aca="false">B80</f>
        <v>5600</v>
      </c>
      <c r="Z89" s="14" t="n">
        <f aca="false">B80</f>
        <v>5600</v>
      </c>
      <c r="AA89" s="14" t="n">
        <f aca="false">B80</f>
        <v>5600</v>
      </c>
      <c r="AB89" s="14" t="n">
        <f aca="false">B80</f>
        <v>5600</v>
      </c>
      <c r="AC89" s="14" t="n">
        <f aca="false">B80</f>
        <v>5600</v>
      </c>
      <c r="AD89" s="14" t="n">
        <f aca="false">B80</f>
        <v>5600</v>
      </c>
      <c r="AE89" s="14" t="n">
        <f aca="false">B80</f>
        <v>5600</v>
      </c>
    </row>
    <row r="90" customFormat="false" ht="15" hidden="false" customHeight="false" outlineLevel="0" collapsed="false">
      <c r="A90" s="11" t="s">
        <v>112</v>
      </c>
      <c r="B90" s="14" t="n">
        <f aca="false">B86-B87-B88-B89</f>
        <v>-7205.575</v>
      </c>
      <c r="C90" s="14" t="n">
        <f aca="false">C86-C87-C88-C89</f>
        <v>-6791.8635</v>
      </c>
      <c r="D90" s="14" t="n">
        <f aca="false">D86-D87-D88-D89</f>
        <v>-6366.5340975</v>
      </c>
      <c r="E90" s="14" t="n">
        <f aca="false">E86-E87-E88-E89</f>
        <v>-5929.2374059125</v>
      </c>
      <c r="F90" s="14" t="n">
        <f aca="false">F86-F87-F88-F89</f>
        <v>-5479.61295491944</v>
      </c>
      <c r="G90" s="14" t="n">
        <f aca="false">G86-G87-G88-G89</f>
        <v>-5017.28882543762</v>
      </c>
      <c r="H90" s="14" t="n">
        <f aca="false">H86-H87-H88-H89</f>
        <v>-4541.88127226586</v>
      </c>
      <c r="I90" s="14" t="n">
        <f aca="false">I86-I87-I88-I89</f>
        <v>-4052.9943339918</v>
      </c>
      <c r="J90" s="14" t="n">
        <f aca="false">J86-J87-J88-J89</f>
        <v>-3550.21942972215</v>
      </c>
      <c r="K90" s="14" t="n">
        <f aca="false">K86-K87-K88-K89</f>
        <v>-3033.1349421839</v>
      </c>
      <c r="L90" s="14" t="n">
        <f aca="false">L86-L87-L88-L89</f>
        <v>-2501.30578673014</v>
      </c>
      <c r="M90" s="14" t="n">
        <f aca="false">M86-M87-M88-M89</f>
        <v>-1954.28296576698</v>
      </c>
      <c r="N90" s="14" t="n">
        <f aca="false">N86-N87-N88-N89</f>
        <v>-1391.60310810012</v>
      </c>
      <c r="O90" s="14" t="n">
        <f aca="false">O86-O87-O88-O89</f>
        <v>-812.787992685434</v>
      </c>
      <c r="P90" s="14" t="n">
        <f aca="false">P86-P87-P88-P89</f>
        <v>-217.344056247379</v>
      </c>
      <c r="Q90" s="14" t="n">
        <f aca="false">Q86-Q87-Q88-Q89</f>
        <v>395.23811578968</v>
      </c>
      <c r="R90" s="14" t="n">
        <f aca="false">R86-R87-R88-R89</f>
        <v>1025.48431562814</v>
      </c>
      <c r="S90" s="14" t="n">
        <f aca="false">S86-S87-S88-S89</f>
        <v>1673.93725727661</v>
      </c>
      <c r="T90" s="14" t="n">
        <f aca="false">T86-T87-T88-T89</f>
        <v>2341.15713919488</v>
      </c>
      <c r="U90" s="14" t="n">
        <f aca="false">U86-U87-U88-U89</f>
        <v>3027.72222603852</v>
      </c>
      <c r="V90" s="14" t="n">
        <f aca="false">V86-V87-V88-V89</f>
        <v>3734.22945016118</v>
      </c>
      <c r="W90" s="14" t="n">
        <f aca="false">W86-W87-W88-W89</f>
        <v>4461.2950335523</v>
      </c>
      <c r="X90" s="14" t="n">
        <f aca="false">X86-X87-X88-X89</f>
        <v>5209.55513091484</v>
      </c>
      <c r="Y90" s="14" t="n">
        <f aca="false">Y86-Y87-Y88-Y89</f>
        <v>5979.66649460882</v>
      </c>
      <c r="Z90" s="14" t="n">
        <f aca="false">Z86-Z87-Z88-Z89</f>
        <v>6772.3071622143</v>
      </c>
      <c r="AA90" s="14" t="n">
        <f aca="false">AA86-AA87-AA88-AA89</f>
        <v>7588.17716749194</v>
      </c>
      <c r="AB90" s="14" t="n">
        <f aca="false">AB86-AB87-AB88-AB89</f>
        <v>8427.99927554623</v>
      </c>
      <c r="AC90" s="14" t="n">
        <f aca="false">AC86-AC87-AC88-AC89</f>
        <v>9292.51974302631</v>
      </c>
      <c r="AD90" s="14" t="n">
        <f aca="false">AD86-AD87-AD88-AD89</f>
        <v>10182.5091042248</v>
      </c>
      <c r="AE90" s="14" t="n">
        <f aca="false">AE86-AE87-AE88-AE89</f>
        <v>11098.7629839693</v>
      </c>
    </row>
    <row r="91" customFormat="false" ht="15" hidden="false" customHeight="false" outlineLevel="0" collapsed="false">
      <c r="A91" s="11" t="s">
        <v>113</v>
      </c>
      <c r="B91" s="14" t="n">
        <f aca="false">-B90*B81</f>
        <v>3026.3415</v>
      </c>
      <c r="C91" s="14" t="n">
        <f aca="false">-B90*B81</f>
        <v>3026.3415</v>
      </c>
      <c r="D91" s="14" t="n">
        <f aca="false">-B90*B81</f>
        <v>3026.3415</v>
      </c>
      <c r="E91" s="14" t="n">
        <f aca="false">-B90*B81</f>
        <v>3026.3415</v>
      </c>
      <c r="F91" s="14" t="n">
        <f aca="false">-B90*B81</f>
        <v>3026.3415</v>
      </c>
      <c r="G91" s="14" t="n">
        <f aca="false">-B90*B81</f>
        <v>3026.3415</v>
      </c>
      <c r="H91" s="14" t="n">
        <f aca="false">-B90*B81</f>
        <v>3026.3415</v>
      </c>
      <c r="I91" s="14" t="n">
        <f aca="false">-B90*B81</f>
        <v>3026.3415</v>
      </c>
      <c r="J91" s="14" t="n">
        <f aca="false">-B90*B81</f>
        <v>3026.3415</v>
      </c>
      <c r="K91" s="14" t="n">
        <f aca="false">-B90*B81</f>
        <v>3026.3415</v>
      </c>
      <c r="L91" s="14" t="n">
        <f aca="false">-B90*B81</f>
        <v>3026.3415</v>
      </c>
      <c r="M91" s="14" t="n">
        <f aca="false">-B90*B81</f>
        <v>3026.3415</v>
      </c>
      <c r="N91" s="14" t="n">
        <f aca="false">-B90*B81</f>
        <v>3026.3415</v>
      </c>
      <c r="O91" s="14" t="n">
        <f aca="false">-B90*B81</f>
        <v>3026.3415</v>
      </c>
      <c r="P91" s="14" t="n">
        <f aca="false">-B90*B81</f>
        <v>3026.3415</v>
      </c>
      <c r="Q91" s="14" t="n">
        <f aca="false">-B90*B81</f>
        <v>3026.3415</v>
      </c>
      <c r="R91" s="14" t="n">
        <f aca="false">-B90*B81</f>
        <v>3026.3415</v>
      </c>
      <c r="S91" s="14" t="n">
        <f aca="false">-B90*B81</f>
        <v>3026.3415</v>
      </c>
      <c r="T91" s="14" t="n">
        <f aca="false">-B90*B81</f>
        <v>3026.3415</v>
      </c>
      <c r="U91" s="14" t="n">
        <f aca="false">-B90*B81</f>
        <v>3026.3415</v>
      </c>
      <c r="V91" s="14" t="n">
        <f aca="false">-B90*B81</f>
        <v>3026.3415</v>
      </c>
      <c r="W91" s="14" t="n">
        <f aca="false">-B90*B81</f>
        <v>3026.3415</v>
      </c>
      <c r="X91" s="14" t="n">
        <f aca="false">-B90*B81</f>
        <v>3026.3415</v>
      </c>
      <c r="Y91" s="14" t="n">
        <f aca="false">-B90*B81</f>
        <v>3026.3415</v>
      </c>
      <c r="Z91" s="14" t="n">
        <f aca="false">-B90*B81</f>
        <v>3026.3415</v>
      </c>
      <c r="AA91" s="14" t="n">
        <f aca="false">-B90*B81</f>
        <v>3026.3415</v>
      </c>
      <c r="AB91" s="14" t="n">
        <f aca="false">-B90*B81</f>
        <v>3026.3415</v>
      </c>
      <c r="AC91" s="14" t="n">
        <f aca="false">-B90*B81</f>
        <v>3026.3415</v>
      </c>
      <c r="AD91" s="14" t="n">
        <f aca="false">-B90*B81</f>
        <v>3026.3415</v>
      </c>
      <c r="AE91" s="14" t="n">
        <f aca="false">-B90*B81</f>
        <v>3026.3415</v>
      </c>
    </row>
    <row r="92" customFormat="false" ht="15" hidden="false" customHeight="false" outlineLevel="0" collapsed="false">
      <c r="A92" s="11" t="s">
        <v>114</v>
      </c>
      <c r="B92" s="14" t="n">
        <f aca="false">B52</f>
        <v>17514.475</v>
      </c>
      <c r="C92" s="14" t="n">
        <f aca="false">IF(B94&gt;0,$B$52,0)</f>
        <v>17514.475</v>
      </c>
      <c r="D92" s="14" t="n">
        <f aca="false">IF(C94&gt;0,$B$52,0)</f>
        <v>17514.475</v>
      </c>
      <c r="E92" s="14" t="n">
        <f aca="false">IF(D94&gt;0,$B$52,0)</f>
        <v>17514.475</v>
      </c>
      <c r="F92" s="14" t="n">
        <f aca="false">IF(E94&gt;0,$B$52,0)</f>
        <v>17514.475</v>
      </c>
      <c r="G92" s="14" t="n">
        <f aca="false">IF(F94&gt;0,$B$52,0)</f>
        <v>17514.475</v>
      </c>
      <c r="H92" s="14" t="n">
        <f aca="false">IF(G94&gt;0,$B$52,0)</f>
        <v>17514.475</v>
      </c>
      <c r="I92" s="14" t="n">
        <f aca="false">IF(H94&gt;0,$B$52,0)</f>
        <v>17514.475</v>
      </c>
      <c r="J92" s="14" t="n">
        <f aca="false">IF(I94&gt;0,$B$52,0)</f>
        <v>17514.475</v>
      </c>
      <c r="K92" s="14" t="n">
        <f aca="false">IF(J94&gt;0,$B$52,0)</f>
        <v>17514.475</v>
      </c>
      <c r="L92" s="14" t="n">
        <f aca="false">IF(K94&gt;0,$B$52,0)</f>
        <v>17514.475</v>
      </c>
      <c r="M92" s="14" t="n">
        <f aca="false">IF(L94&gt;0,$B$52,0)</f>
        <v>17514.475</v>
      </c>
      <c r="N92" s="14" t="n">
        <f aca="false">IF(M94&gt;0,$B$52,0)</f>
        <v>17514.475</v>
      </c>
      <c r="O92" s="14" t="n">
        <f aca="false">IF(N94&gt;0,$B$52,0)</f>
        <v>17514.475</v>
      </c>
      <c r="P92" s="14" t="n">
        <f aca="false">IF(O94&gt;0,$B$52,0)</f>
        <v>17514.475</v>
      </c>
      <c r="Q92" s="14" t="n">
        <f aca="false">IF(P94&gt;0,$B$52,0)</f>
        <v>17514.475</v>
      </c>
      <c r="R92" s="14" t="n">
        <f aca="false">IF(Q94&gt;0,$B$52,0)</f>
        <v>17514.475</v>
      </c>
      <c r="S92" s="14" t="n">
        <f aca="false">IF(R94&gt;0,$B$52,0)</f>
        <v>17514.475</v>
      </c>
      <c r="T92" s="14" t="n">
        <f aca="false">IF(S94&gt;0,$B$52,0)</f>
        <v>17514.475</v>
      </c>
      <c r="U92" s="14" t="n">
        <f aca="false">IF(T94&gt;0,$B$52,0)</f>
        <v>17514.475</v>
      </c>
      <c r="V92" s="14" t="n">
        <f aca="false">IF(U94&gt;0,$B$52,0)</f>
        <v>17514.475</v>
      </c>
      <c r="W92" s="14" t="n">
        <f aca="false">IF(V94&gt;0,$B$52,0)</f>
        <v>17514.475</v>
      </c>
      <c r="X92" s="14" t="n">
        <f aca="false">IF(W94&gt;0,$B$52,0)</f>
        <v>17514.475</v>
      </c>
      <c r="Y92" s="14" t="n">
        <f aca="false">IF(X94&gt;0,$B$52,0)</f>
        <v>17514.475</v>
      </c>
      <c r="Z92" s="14" t="n">
        <f aca="false">IF(Y94&gt;0,$B$52,0)</f>
        <v>17514.475</v>
      </c>
      <c r="AA92" s="14" t="n">
        <f aca="false">IF(Z94&gt;0,$B$52,0)</f>
        <v>17514.475</v>
      </c>
      <c r="AB92" s="14" t="n">
        <f aca="false">IF(AA94&gt;0,$B$52,0)</f>
        <v>17514.475</v>
      </c>
      <c r="AC92" s="14" t="n">
        <f aca="false">IF(AB94&gt;0,$B$52,0)</f>
        <v>17514.475</v>
      </c>
      <c r="AD92" s="14" t="n">
        <f aca="false">IF(AC94&gt;0,$B$52,0)</f>
        <v>17514.475</v>
      </c>
      <c r="AE92" s="14" t="n">
        <f aca="false">IF(AD94&gt;0,$B$52,0)</f>
        <v>17514.475</v>
      </c>
    </row>
    <row r="93" customFormat="false" ht="15" hidden="false" customHeight="false" outlineLevel="0" collapsed="false">
      <c r="A93" s="33" t="s">
        <v>115</v>
      </c>
      <c r="B93" s="34" t="n">
        <f aca="false">B86-B87-B92+B91</f>
        <v>-4948.1335</v>
      </c>
      <c r="C93" s="34" t="n">
        <f aca="false">C86-C87-C92+C91</f>
        <v>-4757.3335</v>
      </c>
      <c r="D93" s="34" t="n">
        <f aca="false">D86-D87-D92+D91</f>
        <v>-4562.7175</v>
      </c>
      <c r="E93" s="34" t="n">
        <f aca="false">E86-E87-E92+E91</f>
        <v>-4364.20918</v>
      </c>
      <c r="F93" s="34" t="n">
        <f aca="false">F86-F87-F92+F91</f>
        <v>-4161.7306936</v>
      </c>
      <c r="G93" s="34" t="n">
        <f aca="false">G86-G87-G92+G91</f>
        <v>-3955.202637472</v>
      </c>
      <c r="H93" s="34" t="n">
        <f aca="false">H86-H87-H92+H91</f>
        <v>-3744.54402022144</v>
      </c>
      <c r="I93" s="34" t="n">
        <f aca="false">I86-I87-I92+I91</f>
        <v>-3529.67223062583</v>
      </c>
      <c r="J93" s="34" t="n">
        <f aca="false">J86-J87-J92+J91</f>
        <v>-3310.50300523837</v>
      </c>
      <c r="K93" s="34" t="n">
        <f aca="false">K86-K87-K92+K91</f>
        <v>-3086.95039534319</v>
      </c>
      <c r="L93" s="34" t="n">
        <f aca="false">L86-L87-L92+L91</f>
        <v>-2858.92673325</v>
      </c>
      <c r="M93" s="34" t="n">
        <f aca="false">M86-M87-M92+M91</f>
        <v>-2626.34259791504</v>
      </c>
      <c r="N93" s="34" t="n">
        <f aca="false">N86-N87-N92+N91</f>
        <v>-2389.10677987336</v>
      </c>
      <c r="O93" s="34" t="n">
        <f aca="false">O86-O87-O92+O91</f>
        <v>-2147.12624547074</v>
      </c>
      <c r="P93" s="34" t="n">
        <f aca="false">P86-P87-P92+P91</f>
        <v>-1900.30610038017</v>
      </c>
      <c r="Q93" s="34" t="n">
        <f aca="false">Q86-Q87-Q92+Q91</f>
        <v>-1648.54955238776</v>
      </c>
      <c r="R93" s="34" t="n">
        <f aca="false">R86-R87-R92+R91</f>
        <v>-1391.75787343551</v>
      </c>
      <c r="S93" s="34" t="n">
        <f aca="false">S86-S87-S92+S91</f>
        <v>-1129.83036090427</v>
      </c>
      <c r="T93" s="34" t="n">
        <f aca="false">T86-T87-T92+T91</f>
        <v>-862.664298122333</v>
      </c>
      <c r="U93" s="34" t="n">
        <f aca="false">U86-U87-U92+U91</f>
        <v>-590.154914084792</v>
      </c>
      <c r="V93" s="34" t="n">
        <f aca="false">V86-V87-V92+V91</f>
        <v>-312.195342366451</v>
      </c>
      <c r="W93" s="34" t="n">
        <f aca="false">W86-W87-W92+W91</f>
        <v>-28.6765792137944</v>
      </c>
      <c r="X93" s="34" t="n">
        <f aca="false">X86-X87-X92+X91</f>
        <v>260.512559201926</v>
      </c>
      <c r="Y93" s="34" t="n">
        <f aca="false">Y86-Y87-Y92+Y91</f>
        <v>555.485480385959</v>
      </c>
      <c r="Z93" s="34" t="n">
        <f aca="false">Z86-Z87-Z92+Z91</f>
        <v>856.357859993639</v>
      </c>
      <c r="AA93" s="34" t="n">
        <f aca="false">AA86-AA87-AA92+AA91</f>
        <v>1163.24768719356</v>
      </c>
      <c r="AB93" s="34" t="n">
        <f aca="false">AB86-AB87-AB92+AB91</f>
        <v>1476.2753109374</v>
      </c>
      <c r="AC93" s="34" t="n">
        <f aca="false">AC86-AC87-AC92+AC91</f>
        <v>1795.56348715618</v>
      </c>
      <c r="AD93" s="34" t="n">
        <f aca="false">AD86-AD87-AD92+AD91</f>
        <v>2121.23742689924</v>
      </c>
      <c r="AE93" s="34" t="n">
        <f aca="false">AE86-AE87-AE92+AE91</f>
        <v>2453.42484543728</v>
      </c>
    </row>
    <row r="94" customFormat="false" ht="15" hidden="false" customHeight="false" outlineLevel="0" collapsed="false">
      <c r="A94" s="33" t="s">
        <v>116</v>
      </c>
      <c r="B94" s="34" t="n">
        <f aca="false">MAX(0,B48-(B92-B88))</f>
        <v>312076.1</v>
      </c>
      <c r="C94" s="34" t="n">
        <f aca="false">IF(B94&gt;0,MAX(0,B94-(C92-C88)),0)</f>
        <v>305484.2885</v>
      </c>
      <c r="D94" s="34" t="n">
        <f aca="false">IF(C94&gt;0,MAX(0,C94-(D92-D88)),0)</f>
        <v>298661.7635975</v>
      </c>
      <c r="E94" s="34" t="n">
        <f aca="false">IF(D94&gt;0,MAX(0,D94-(E92-E88)),0)</f>
        <v>291600.450323413</v>
      </c>
      <c r="F94" s="34" t="n">
        <f aca="false">IF(E94&gt;0,MAX(0,E94-(F92-F88)),0)</f>
        <v>284291.991084732</v>
      </c>
      <c r="G94" s="34" t="n">
        <f aca="false">IF(F94&gt;0,MAX(0,F94-(G92-G88)),0)</f>
        <v>276727.735772698</v>
      </c>
      <c r="H94" s="34" t="n">
        <f aca="false">IF(G94&gt;0,MAX(0,G94-(H92-H88)),0)</f>
        <v>268898.731524742</v>
      </c>
      <c r="I94" s="34" t="n">
        <f aca="false">IF(H94&gt;0,MAX(0,H94-(I92-I88)),0)</f>
        <v>260795.712128108</v>
      </c>
      <c r="J94" s="34" t="n">
        <f aca="false">IF(I94&gt;0,MAX(0,I94-(J92-J88)),0)</f>
        <v>252409.087052592</v>
      </c>
      <c r="K94" s="34" t="n">
        <f aca="false">IF(J94&gt;0,MAX(0,J94-(K92-K88)),0)</f>
        <v>243728.930099432</v>
      </c>
      <c r="L94" s="34" t="n">
        <f aca="false">IF(K94&gt;0,MAX(0,K94-(L92-L88)),0)</f>
        <v>234744.967652913</v>
      </c>
      <c r="M94" s="34" t="n">
        <f aca="false">IF(L94&gt;0,MAX(0,L94-(M92-M88)),0)</f>
        <v>225446.566520765</v>
      </c>
      <c r="N94" s="34" t="n">
        <f aca="false">IF(M94&gt;0,MAX(0,M94-(N92-N88)),0)</f>
        <v>215822.721348991</v>
      </c>
      <c r="O94" s="34" t="n">
        <f aca="false">IF(N94&gt;0,MAX(0,N94-(O92-O88)),0)</f>
        <v>205862.041596206</v>
      </c>
      <c r="P94" s="34" t="n">
        <f aca="false">IF(O94&gt;0,MAX(0,O94-(P92-P88)),0)</f>
        <v>195552.738052073</v>
      </c>
      <c r="Q94" s="34" t="n">
        <f aca="false">IF(P94&gt;0,MAX(0,P94-(Q92-Q88)),0)</f>
        <v>184882.608883896</v>
      </c>
      <c r="R94" s="34" t="n">
        <f aca="false">IF(Q94&gt;0,MAX(0,Q94-(R92-R88)),0)</f>
        <v>173839.025194832</v>
      </c>
      <c r="S94" s="34" t="n">
        <f aca="false">IF(R94&gt;0,MAX(0,R94-(S92-S88)),0)</f>
        <v>162408.916076651</v>
      </c>
      <c r="T94" s="34" t="n">
        <f aca="false">IF(S94&gt;0,MAX(0,S94-(T92-T88)),0)</f>
        <v>150578.753139334</v>
      </c>
      <c r="U94" s="34" t="n">
        <f aca="false">IF(T94&gt;0,MAX(0,T94-(U92-U88)),0)</f>
        <v>138334.534499211</v>
      </c>
      <c r="V94" s="34" t="n">
        <f aca="false">IF(U94&gt;0,MAX(0,U94-(V92-V88)),0)</f>
        <v>125661.768206683</v>
      </c>
      <c r="W94" s="34" t="n">
        <f aca="false">IF(V94&gt;0,MAX(0,V94-(W92-W88)),0)</f>
        <v>112545.455093917</v>
      </c>
      <c r="X94" s="34" t="n">
        <f aca="false">IF(W94&gt;0,MAX(0,W94-(X92-X88)),0)</f>
        <v>98970.071022204</v>
      </c>
      <c r="Y94" s="34" t="n">
        <f aca="false">IF(X94&gt;0,MAX(0,X94-(Y92-Y88)),0)</f>
        <v>84919.5485079812</v>
      </c>
      <c r="Z94" s="34" t="n">
        <f aca="false">IF(Y94&gt;0,MAX(0,Y94-(Z92-Z88)),0)</f>
        <v>70377.2577057605</v>
      </c>
      <c r="AA94" s="34" t="n">
        <f aca="false">IF(Z94&gt;0,MAX(0,Z94-(AA92-AA88)),0)</f>
        <v>55325.9867254621</v>
      </c>
      <c r="AB94" s="34" t="n">
        <f aca="false">IF(AA94&gt;0,MAX(0,AA94-(AB92-AB88)),0)</f>
        <v>39747.9212608533</v>
      </c>
      <c r="AC94" s="34" t="n">
        <f aca="false">IF(AB94&gt;0,MAX(0,AB94-(AC92-AC88)),0)</f>
        <v>23624.6235049832</v>
      </c>
      <c r="AD94" s="34" t="n">
        <f aca="false">IF(AC94&gt;0,MAX(0,AC94-(AD92-AD88)),0)</f>
        <v>6937.01032765756</v>
      </c>
      <c r="AE94" s="34" t="n">
        <f aca="false">IF(AD94&gt;0,MAX(0,AD94-(AE92-AE88)),0)</f>
        <v>0</v>
      </c>
    </row>
  </sheetData>
  <mergeCells count="9">
    <mergeCell ref="A1:AE1"/>
    <mergeCell ref="A4:B4"/>
    <mergeCell ref="A11:B11"/>
    <mergeCell ref="A19:B19"/>
    <mergeCell ref="A29:B29"/>
    <mergeCell ref="A45:B45"/>
    <mergeCell ref="A57:B57"/>
    <mergeCell ref="A66:B66"/>
    <mergeCell ref="A76:B7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2026-05-18T16:59:01Z</dcterms:created>
  <dc:creator>openpyxl</dc:creator>
  <dc:description/>
  <dc:language>de-DE</dc:language>
  <cp:lastModifiedBy/>
  <dcterms:modified xsi:type="dcterms:W3CDTF">2026-05-20T08:50:37Z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