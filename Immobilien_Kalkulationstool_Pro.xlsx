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mobilien-Kalku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<sst xmlns="http://schemas.openxmlformats.org/spreadsheetml/2006/main" count="116" uniqueCount="116">
  <si>
    <t xml:space="preserve">Immobilien-Kalkulations-Rechner</t>
  </si>
  <si>
    <t xml:space="preserve">Szenario- &amp; Exit-Analyse</t>
  </si>
  <si>
    <t xml:space="preserve">Haltedauer (Jahre)</t>
  </si>
  <si>
    <t xml:space="preserve">Angenommene Wertsteigerung p.a. (%)</t>
  </si>
  <si>
    <t xml:space="preserve">Voraussichtlicher Verkaufspreis</t>
  </si>
  <si>
    <t xml:space="preserve">Restschuld am Ende der Laufzeit</t>
  </si>
  <si>
    <t xml:space="preserve">Voraussichtlicher Gesamtgewinn nach Steuer</t>
  </si>
  <si>
    <t xml:space="preserve">Renditen &amp; Kennzahlen</t>
  </si>
  <si>
    <t xml:space="preserve">Bruttomietrendite</t>
  </si>
  <si>
    <t xml:space="preserve">Nettomietrendite</t>
  </si>
  <si>
    <t xml:space="preserve">Eigenkapitalrendite (ROE)</t>
  </si>
  <si>
    <t xml:space="preserve">Kaufpreisfaktor (Vervielfältiger)</t>
  </si>
  <si>
    <t xml:space="preserve">Monatlicher Cashflow (Jahr 1)</t>
  </si>
  <si>
    <t xml:space="preserve">Break-Even-Miete (monatlich)</t>
  </si>
  <si>
    <t xml:space="preserve">Sektion 1: Objektdaten (Grunddaten)</t>
  </si>
  <si>
    <t xml:space="preserve">Kaufpreis gesamt</t>
  </si>
  <si>
    <t xml:space="preserve">Wohnfläche (m²)</t>
  </si>
  <si>
    <t xml:space="preserve">Kaufpreis / m²</t>
  </si>
  <si>
    <t xml:space="preserve">Grundstücksfläche (m²)</t>
  </si>
  <si>
    <t xml:space="preserve">Baujahr</t>
  </si>
  <si>
    <t xml:space="preserve">Objektart</t>
  </si>
  <si>
    <t xml:space="preserve">Wohnung</t>
  </si>
  <si>
    <t xml:space="preserve">Bundesland</t>
  </si>
  <si>
    <t xml:space="preserve">Bayern</t>
  </si>
  <si>
    <t xml:space="preserve">PLZ / Lage</t>
  </si>
  <si>
    <t xml:space="preserve">80331 München</t>
  </si>
  <si>
    <t xml:space="preserve">Sektion 2: Kaufnebenkosten</t>
  </si>
  <si>
    <t xml:space="preserve">Grunderwerbsteuer (%)</t>
  </si>
  <si>
    <t xml:space="preserve">Grunderwerbsteuer (€)</t>
  </si>
  <si>
    <t xml:space="preserve">Notarkosten (%)</t>
  </si>
  <si>
    <t xml:space="preserve">Notarkosten (€)</t>
  </si>
  <si>
    <t xml:space="preserve">Grundbucheintragung (%)</t>
  </si>
  <si>
    <t xml:space="preserve">Grundbucheintragung (€)</t>
  </si>
  <si>
    <t xml:space="preserve">Maklerprovision (%)</t>
  </si>
  <si>
    <t xml:space="preserve">Maklerprovision (€)</t>
  </si>
  <si>
    <t xml:space="preserve">Gutachter / Wertermittlung</t>
  </si>
  <si>
    <t xml:space="preserve">Renovierung / Sanierung vor Einzug</t>
  </si>
  <si>
    <t xml:space="preserve">Sonstige Erwerbsnebenkosten</t>
  </si>
  <si>
    <t xml:space="preserve">Gesamten Kaufnebenkosten (€)</t>
  </si>
  <si>
    <t xml:space="preserve">Gesamten Kaufnebenkosten (%)</t>
  </si>
  <si>
    <t xml:space="preserve">Gesamten Investitionskosten (Kaufpreis + NK)</t>
  </si>
  <si>
    <t xml:space="preserve">Sektion 3: Finanzierung</t>
  </si>
  <si>
    <t xml:space="preserve">Eigenkapital-Anteil (%)</t>
  </si>
  <si>
    <t xml:space="preserve">Eigenkapital (€)</t>
  </si>
  <si>
    <t xml:space="preserve">Darlehensbetrag</t>
  </si>
  <si>
    <t xml:space="preserve">Zinssatz (p. a. %)</t>
  </si>
  <si>
    <t xml:space="preserve">Anfangstilgung (%)</t>
  </si>
  <si>
    <t xml:space="preserve">Monatliche Rate (Annuität)</t>
  </si>
  <si>
    <t xml:space="preserve">Jährliche Rate</t>
  </si>
  <si>
    <t xml:space="preserve">Zinsbindung (Jahre)</t>
  </si>
  <si>
    <t xml:space="preserve">Laufzeit des Kredites (Jahre)</t>
  </si>
  <si>
    <t xml:space="preserve">Beleihungsauslauf (LTV %)</t>
  </si>
  <si>
    <t xml:space="preserve">Sektion 4: Mieteinnahmen &amp; Ertrag</t>
  </si>
  <si>
    <t xml:space="preserve">Kaltmiete / m²</t>
  </si>
  <si>
    <t xml:space="preserve">Kaltmiete monatlich gesamt</t>
  </si>
  <si>
    <t xml:space="preserve">Warmmiete</t>
  </si>
  <si>
    <t xml:space="preserve">Mietausfallwagnis (%)</t>
  </si>
  <si>
    <t xml:space="preserve">Mietausfallwagnis (€)</t>
  </si>
  <si>
    <t xml:space="preserve">Mieteinnahmen netto p. a.</t>
  </si>
  <si>
    <t xml:space="preserve">Mietpreisentwicklung (jährl. Steigerung %)</t>
  </si>
  <si>
    <t xml:space="preserve">Sektion 5: Bewirtschaftungskosten</t>
  </si>
  <si>
    <t xml:space="preserve">Hausverwaltung (monatlich)</t>
  </si>
  <si>
    <t xml:space="preserve">Instandhaltungsrücklage p.a.</t>
  </si>
  <si>
    <t xml:space="preserve">Nicht umlagefähige Nebenkosten p.a.</t>
  </si>
  <si>
    <t xml:space="preserve">Versicherungen p.a.</t>
  </si>
  <si>
    <t xml:space="preserve">Grundsteuer B p.a.</t>
  </si>
  <si>
    <t xml:space="preserve">Hausmeister p.a.</t>
  </si>
  <si>
    <t xml:space="preserve">Leerstandskosten p.a.</t>
  </si>
  <si>
    <t xml:space="preserve">Bewirtschaftungskosten gesamt p. a.</t>
  </si>
  <si>
    <t xml:space="preserve">Sektion 6: Steuer &amp; AfA</t>
  </si>
  <si>
    <t xml:space="preserve">Gebäudeanteil (%)</t>
  </si>
  <si>
    <t xml:space="preserve">Gebäudewert für AfA</t>
  </si>
  <si>
    <t xml:space="preserve">AfA-Satz (%)</t>
  </si>
  <si>
    <t xml:space="preserve">AfA-Betrag jährlich</t>
  </si>
  <si>
    <t xml:space="preserve">Persönlicher Grenzsteuersatz (%)</t>
  </si>
  <si>
    <t xml:space="preserve">Werbungskosten (Sonstige p.a.)</t>
  </si>
  <si>
    <t xml:space="preserve">Kategorie</t>
  </si>
  <si>
    <t xml:space="preserve">Jahr 1</t>
  </si>
  <si>
    <t xml:space="preserve">Jahr 2</t>
  </si>
  <si>
    <t xml:space="preserve">Jahr 3</t>
  </si>
  <si>
    <t xml:space="preserve">Jahr 4</t>
  </si>
  <si>
    <t xml:space="preserve">Jahr 5</t>
  </si>
  <si>
    <t xml:space="preserve">Jahr 6</t>
  </si>
  <si>
    <t xml:space="preserve">Jahr 7</t>
  </si>
  <si>
    <t xml:space="preserve">Jahr 8</t>
  </si>
  <si>
    <t xml:space="preserve">Jahr 9</t>
  </si>
  <si>
    <t xml:space="preserve">Jahr 10</t>
  </si>
  <si>
    <t xml:space="preserve">Jahr 11</t>
  </si>
  <si>
    <t xml:space="preserve">Jahr 12</t>
  </si>
  <si>
    <t xml:space="preserve">Jahr 13</t>
  </si>
  <si>
    <t xml:space="preserve">Jahr 14</t>
  </si>
  <si>
    <t xml:space="preserve">Jahr 15</t>
  </si>
  <si>
    <t xml:space="preserve">Jahr 16</t>
  </si>
  <si>
    <t xml:space="preserve">Jahr 17</t>
  </si>
  <si>
    <t xml:space="preserve">Jahr 18</t>
  </si>
  <si>
    <t xml:space="preserve">Jahr 19</t>
  </si>
  <si>
    <t xml:space="preserve">Jahr 20</t>
  </si>
  <si>
    <t xml:space="preserve">Jahr 21</t>
  </si>
  <si>
    <t xml:space="preserve">Jahr 22</t>
  </si>
  <si>
    <t xml:space="preserve">Jahr 23</t>
  </si>
  <si>
    <t xml:space="preserve">Jahr 24</t>
  </si>
  <si>
    <t xml:space="preserve">Jahr 25</t>
  </si>
  <si>
    <t xml:space="preserve">Jahr 26</t>
  </si>
  <si>
    <t xml:space="preserve">Jahr 27</t>
  </si>
  <si>
    <t xml:space="preserve">Jahr 28</t>
  </si>
  <si>
    <t xml:space="preserve">Jahr 29</t>
  </si>
  <si>
    <t xml:space="preserve">Jahr 30</t>
  </si>
  <si>
    <t xml:space="preserve">1. Potenzielle Mieteinnahmen p.a.</t>
  </si>
  <si>
    <t xml:space="preserve">2. Bewirtschaftungskosten p.a.</t>
  </si>
  <si>
    <t xml:space="preserve">3. Zinsaufwand p.a.</t>
  </si>
  <si>
    <t xml:space="preserve">4. AfA Abschreibung</t>
  </si>
  <si>
    <t xml:space="preserve">5. Zu versteuernder Gewinn/Verlust</t>
  </si>
  <si>
    <t xml:space="preserve">6. Steuereffekt (+ Ersparnis / - Last)</t>
  </si>
  <si>
    <t xml:space="preserve">7. Zins &amp; Tilgung (Annuität, konstant)</t>
  </si>
  <si>
    <t xml:space="preserve">8. Netto-Cashflow nach Steuern</t>
  </si>
  <si>
    <t xml:space="preserve">9. Restschuld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</si>
</sst>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#,##0&quot; €&quot;"/>
    <numFmt numFmtId="168" formatCode="0.00\ %"/>
    <numFmt numFmtId="169" formatCode="#,##0.0"/>
    <numFmt numFmtId="170" formatCode="#,##0.00&quot; €&quot;"/>
    <numFmt numFmtId="171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F2F4F7"/>
      </patternFill>
    </fill>
    <fill>
      <patternFill patternType="solid">
        <fgColor rgb="FFF2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7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.99"/>
    <col collapsed="false" customWidth="true" hidden="false" outlineLevel="0" max="6" min="6" style="0" width="14"/>
    <col collapsed="false" customWidth="true" hidden="false" outlineLevel="0" max="7" min="7" style="0" width="13.99"/>
    <col collapsed="false" customWidth="true" hidden="false" outlineLevel="0" max="31" min="8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4" t="n">
        <v>10</v>
      </c>
    </row>
    <row r="4" customFormat="false" ht="15" hidden="false" customHeight="false" outlineLevel="0" collapsed="false">
      <c r="A4" s="3" t="s">
        <v>3</v>
      </c>
      <c r="B4" s="5" t="n">
        <v>0.025</v>
      </c>
    </row>
    <row r="5" customFormat="false" ht="15" hidden="false" customHeight="false" outlineLevel="0" collapsed="false">
      <c r="A5" s="3" t="s">
        <v>4</v>
      </c>
      <c r="B5" s="6" t="n">
        <f aca="false">B18*(1+B4)^B3</f>
        <v>448029.590468725</v>
      </c>
    </row>
    <row r="6" customFormat="false" ht="15" hidden="false" customHeight="false" outlineLevel="0" collapsed="false">
      <c r="A6" s="3" t="s">
        <v>5</v>
      </c>
      <c r="B6" s="6" t="n">
        <f aca="false">HLOOKUP("Jahr "&amp;B3,$B$83:$AE$92,10,FALSE())</f>
        <v>243966.960833973</v>
      </c>
    </row>
    <row r="7" customFormat="false" ht="15" hidden="false" customHeight="false" outlineLevel="0" collapsed="false">
      <c r="A7" s="3" t="s">
        <v>6</v>
      </c>
      <c r="B7" s="6" t="n">
        <f aca="false">B5-B6-B45+SUM(B91:INDEX(B91:AE91,1,B3))</f>
        <v>83827.2999722506</v>
      </c>
    </row>
    <row r="8" customFormat="false" ht="15" hidden="false" customHeight="false" outlineLevel="0" collapsed="false">
      <c r="A8" s="3"/>
      <c r="B8" s="6"/>
    </row>
    <row r="9" customFormat="false" ht="15" hidden="false" customHeight="false" outlineLevel="0" collapsed="false">
      <c r="A9" s="2" t="s">
        <v>7</v>
      </c>
      <c r="B9" s="2"/>
    </row>
    <row r="10" customFormat="false" ht="15" hidden="false" customHeight="false" outlineLevel="0" collapsed="false">
      <c r="A10" s="3" t="s">
        <v>8</v>
      </c>
      <c r="B10" s="7" t="n">
        <f aca="false">(B57*12)/B18</f>
        <v>0.0342857142857143</v>
      </c>
    </row>
    <row r="11" customFormat="false" ht="15" hidden="false" customHeight="false" outlineLevel="0" collapsed="false">
      <c r="A11" s="3" t="s">
        <v>9</v>
      </c>
      <c r="B11" s="7" t="n">
        <f aca="false">(B57*12-B72)/B41</f>
        <v>0.0239430787185182</v>
      </c>
    </row>
    <row r="12" customFormat="false" ht="15" hidden="false" customHeight="false" outlineLevel="0" collapsed="false">
      <c r="A12" s="3" t="s">
        <v>10</v>
      </c>
      <c r="B12" s="7" t="n">
        <f aca="false">B91/B45</f>
        <v>-0.0622503331701992</v>
      </c>
    </row>
    <row r="13" customFormat="false" ht="15" hidden="false" customHeight="false" outlineLevel="0" collapsed="false">
      <c r="A13" s="3" t="s">
        <v>11</v>
      </c>
      <c r="B13" s="8" t="n">
        <f aca="false">B18/(B57*12)</f>
        <v>29.1666666666667</v>
      </c>
    </row>
    <row r="14" customFormat="false" ht="15" hidden="false" customHeight="false" outlineLevel="0" collapsed="false">
      <c r="A14" s="9" t="s">
        <v>12</v>
      </c>
      <c r="B14" s="10" t="n">
        <f aca="false">B91/12</f>
        <v>-413.3889</v>
      </c>
    </row>
    <row r="15" customFormat="false" ht="15" hidden="false" customHeight="false" outlineLevel="0" collapsed="false">
      <c r="A15" s="3" t="s">
        <v>13</v>
      </c>
      <c r="B15" s="11" t="n">
        <f aca="false">(B72+B50)/12</f>
        <v>1665.965</v>
      </c>
    </row>
    <row r="17" customFormat="false" ht="15" hidden="false" customHeight="false" outlineLevel="0" collapsed="false">
      <c r="A17" s="2" t="s">
        <v>14</v>
      </c>
      <c r="B17" s="2"/>
    </row>
    <row r="18" customFormat="false" ht="15" hidden="false" customHeight="false" outlineLevel="0" collapsed="false">
      <c r="A18" s="3" t="s">
        <v>15</v>
      </c>
      <c r="B18" s="12" t="n">
        <v>350000</v>
      </c>
    </row>
    <row r="19" customFormat="false" ht="15" hidden="false" customHeight="false" outlineLevel="0" collapsed="false">
      <c r="A19" s="3" t="s">
        <v>16</v>
      </c>
      <c r="B19" s="4" t="n">
        <v>80</v>
      </c>
    </row>
    <row r="20" customFormat="false" ht="15" hidden="false" customHeight="false" outlineLevel="0" collapsed="false">
      <c r="A20" s="3" t="s">
        <v>17</v>
      </c>
      <c r="B20" s="11" t="n">
        <f aca="false">IF(B19&gt;0,B18/B19,0)</f>
        <v>4375</v>
      </c>
    </row>
    <row r="21" customFormat="false" ht="15" hidden="false" customHeight="false" outlineLevel="0" collapsed="false">
      <c r="A21" s="3" t="s">
        <v>18</v>
      </c>
      <c r="B21" s="4" t="n">
        <v>200</v>
      </c>
    </row>
    <row r="22" customFormat="false" ht="15" hidden="false" customHeight="false" outlineLevel="0" collapsed="false">
      <c r="A22" s="3" t="s">
        <v>19</v>
      </c>
      <c r="B22" s="13" t="n">
        <v>2005</v>
      </c>
    </row>
    <row r="23" customFormat="false" ht="15" hidden="false" customHeight="false" outlineLevel="0" collapsed="false">
      <c r="A23" s="3" t="s">
        <v>20</v>
      </c>
      <c r="B23" s="14" t="s">
        <v>21</v>
      </c>
    </row>
    <row r="24" customFormat="false" ht="15" hidden="false" customHeight="false" outlineLevel="0" collapsed="false">
      <c r="A24" s="3" t="s">
        <v>22</v>
      </c>
      <c r="B24" s="14" t="s">
        <v>23</v>
      </c>
    </row>
    <row r="25" customFormat="false" ht="15" hidden="false" customHeight="false" outlineLevel="0" collapsed="false">
      <c r="A25" s="3" t="s">
        <v>24</v>
      </c>
      <c r="B25" s="14" t="s">
        <v>25</v>
      </c>
    </row>
    <row r="27" customFormat="false" ht="15" hidden="false" customHeight="false" outlineLevel="0" collapsed="false">
      <c r="A27" s="2" t="s">
        <v>26</v>
      </c>
      <c r="B27" s="2"/>
    </row>
    <row r="28" customFormat="false" ht="15" hidden="false" customHeight="false" outlineLevel="0" collapsed="false">
      <c r="A28" s="3" t="s">
        <v>27</v>
      </c>
      <c r="B28" s="5" t="n">
        <v>0.035</v>
      </c>
    </row>
    <row r="29" customFormat="false" ht="15" hidden="false" customHeight="false" outlineLevel="0" collapsed="false">
      <c r="A29" s="3" t="s">
        <v>28</v>
      </c>
      <c r="B29" s="6" t="n">
        <f aca="false">B18*B28</f>
        <v>12250</v>
      </c>
    </row>
    <row r="30" customFormat="false" ht="15" hidden="false" customHeight="false" outlineLevel="0" collapsed="false">
      <c r="A30" s="3" t="s">
        <v>29</v>
      </c>
      <c r="B30" s="5" t="n">
        <v>0.015</v>
      </c>
    </row>
    <row r="31" customFormat="false" ht="15" hidden="false" customHeight="false" outlineLevel="0" collapsed="false">
      <c r="A31" s="3" t="s">
        <v>30</v>
      </c>
      <c r="B31" s="6" t="n">
        <f aca="false">B18*B30</f>
        <v>5250</v>
      </c>
    </row>
    <row r="32" customFormat="false" ht="15" hidden="false" customHeight="false" outlineLevel="0" collapsed="false">
      <c r="A32" s="3" t="s">
        <v>31</v>
      </c>
      <c r="B32" s="5" t="n">
        <v>0.005</v>
      </c>
    </row>
    <row r="33" customFormat="false" ht="15" hidden="false" customHeight="false" outlineLevel="0" collapsed="false">
      <c r="A33" s="3" t="s">
        <v>32</v>
      </c>
      <c r="B33" s="6" t="n">
        <f aca="false">B18*B32</f>
        <v>1750</v>
      </c>
    </row>
    <row r="34" customFormat="false" ht="15" hidden="false" customHeight="false" outlineLevel="0" collapsed="false">
      <c r="A34" s="3" t="s">
        <v>33</v>
      </c>
      <c r="B34" s="7" t="n">
        <v>0.0357</v>
      </c>
    </row>
    <row r="35" customFormat="false" ht="15" hidden="false" customHeight="false" outlineLevel="0" collapsed="false">
      <c r="A35" s="3" t="s">
        <v>34</v>
      </c>
      <c r="B35" s="6" t="n">
        <f aca="false">B18*B34</f>
        <v>12495</v>
      </c>
    </row>
    <row r="36" customFormat="false" ht="15" hidden="false" customHeight="false" outlineLevel="0" collapsed="false">
      <c r="A36" s="3" t="s">
        <v>35</v>
      </c>
      <c r="B36" s="6" t="n">
        <v>1200</v>
      </c>
    </row>
    <row r="37" customFormat="false" ht="15" hidden="false" customHeight="false" outlineLevel="0" collapsed="false">
      <c r="A37" s="3" t="s">
        <v>36</v>
      </c>
      <c r="B37" s="6" t="n">
        <v>15000</v>
      </c>
    </row>
    <row r="38" customFormat="false" ht="15" hidden="false" customHeight="false" outlineLevel="0" collapsed="false">
      <c r="A38" s="3" t="s">
        <v>37</v>
      </c>
      <c r="B38" s="6" t="n">
        <v>500</v>
      </c>
    </row>
    <row r="39" customFormat="false" ht="15" hidden="false" customHeight="false" outlineLevel="0" collapsed="false">
      <c r="A39" s="3" t="s">
        <v>38</v>
      </c>
      <c r="B39" s="12" t="n">
        <f aca="false">SUM(B29,B31,B33,B35,B36,B37,B38)</f>
        <v>48445</v>
      </c>
    </row>
    <row r="40" customFormat="false" ht="15" hidden="false" customHeight="false" outlineLevel="0" collapsed="false">
      <c r="A40" s="3" t="s">
        <v>39</v>
      </c>
      <c r="B40" s="15" t="n">
        <f aca="false">IF(B18&gt;0,B39/B18,0)</f>
        <v>0.138414285714286</v>
      </c>
    </row>
    <row r="41" customFormat="false" ht="15" hidden="false" customHeight="false" outlineLevel="0" collapsed="false">
      <c r="A41" s="3" t="s">
        <v>40</v>
      </c>
      <c r="B41" s="12" t="n">
        <f aca="false">B18+B39</f>
        <v>398445</v>
      </c>
    </row>
    <row r="43" customFormat="false" ht="15" hidden="false" customHeight="false" outlineLevel="0" collapsed="false">
      <c r="A43" s="2" t="s">
        <v>41</v>
      </c>
      <c r="B43" s="2"/>
    </row>
    <row r="44" customFormat="false" ht="15" hidden="false" customHeight="false" outlineLevel="0" collapsed="false">
      <c r="A44" s="3" t="s">
        <v>42</v>
      </c>
      <c r="B44" s="5" t="n">
        <v>0.2</v>
      </c>
    </row>
    <row r="45" customFormat="false" ht="15" hidden="false" customHeight="false" outlineLevel="0" collapsed="false">
      <c r="A45" s="3" t="s">
        <v>43</v>
      </c>
      <c r="B45" s="6" t="n">
        <f aca="false">B41*B44</f>
        <v>79689</v>
      </c>
    </row>
    <row r="46" customFormat="false" ht="15" hidden="false" customHeight="false" outlineLevel="0" collapsed="false">
      <c r="A46" s="3" t="s">
        <v>44</v>
      </c>
      <c r="B46" s="6" t="n">
        <f aca="false">B41-B45</f>
        <v>318756</v>
      </c>
    </row>
    <row r="47" customFormat="false" ht="15" hidden="false" customHeight="false" outlineLevel="0" collapsed="false">
      <c r="A47" s="3" t="s">
        <v>45</v>
      </c>
      <c r="B47" s="7" t="n">
        <v>0.035</v>
      </c>
    </row>
    <row r="48" customFormat="false" ht="15" hidden="false" customHeight="false" outlineLevel="0" collapsed="false">
      <c r="A48" s="3" t="s">
        <v>46</v>
      </c>
      <c r="B48" s="5" t="n">
        <v>0.02</v>
      </c>
    </row>
    <row r="49" customFormat="false" ht="15" hidden="false" customHeight="false" outlineLevel="0" collapsed="false">
      <c r="A49" s="3" t="s">
        <v>47</v>
      </c>
      <c r="B49" s="11" t="n">
        <f aca="false">B46*(B47+B48)/12</f>
        <v>1460.965</v>
      </c>
    </row>
    <row r="50" customFormat="false" ht="15" hidden="false" customHeight="false" outlineLevel="0" collapsed="false">
      <c r="A50" s="3" t="s">
        <v>48</v>
      </c>
      <c r="B50" s="6" t="n">
        <f aca="false">B49*12</f>
        <v>17531.58</v>
      </c>
    </row>
    <row r="51" customFormat="false" ht="15" hidden="false" customHeight="false" outlineLevel="0" collapsed="false">
      <c r="A51" s="3" t="s">
        <v>49</v>
      </c>
      <c r="B51" s="4" t="n">
        <v>10</v>
      </c>
    </row>
    <row r="52" customFormat="false" ht="15" hidden="false" customHeight="false" outlineLevel="0" collapsed="false">
      <c r="A52" s="3" t="s">
        <v>50</v>
      </c>
      <c r="B52" s="4" t="n">
        <v>30</v>
      </c>
    </row>
    <row r="53" customFormat="false" ht="15" hidden="false" customHeight="false" outlineLevel="0" collapsed="false">
      <c r="A53" s="3" t="s">
        <v>51</v>
      </c>
      <c r="B53" s="5" t="n">
        <f aca="false">IF(B18&gt;0,B46/B18,0)</f>
        <v>0.910731428571429</v>
      </c>
    </row>
    <row r="55" customFormat="false" ht="15" hidden="false" customHeight="false" outlineLevel="0" collapsed="false">
      <c r="A55" s="2" t="s">
        <v>52</v>
      </c>
      <c r="B55" s="2"/>
    </row>
    <row r="56" customFormat="false" ht="15" hidden="false" customHeight="false" outlineLevel="0" collapsed="false">
      <c r="A56" s="3" t="s">
        <v>53</v>
      </c>
      <c r="B56" s="11" t="n">
        <v>12.5</v>
      </c>
    </row>
    <row r="57" customFormat="false" ht="15" hidden="false" customHeight="false" outlineLevel="0" collapsed="false">
      <c r="A57" s="3" t="s">
        <v>54</v>
      </c>
      <c r="B57" s="16" t="n">
        <f aca="false">B19*B56</f>
        <v>1000</v>
      </c>
    </row>
    <row r="58" customFormat="false" ht="15" hidden="false" customHeight="false" outlineLevel="0" collapsed="false">
      <c r="A58" s="3" t="s">
        <v>55</v>
      </c>
      <c r="B58" s="6" t="n">
        <v>1200</v>
      </c>
    </row>
    <row r="59" customFormat="false" ht="15" hidden="false" customHeight="false" outlineLevel="0" collapsed="false">
      <c r="A59" s="3" t="s">
        <v>56</v>
      </c>
      <c r="B59" s="5" t="n">
        <v>0.02</v>
      </c>
    </row>
    <row r="60" customFormat="false" ht="15" hidden="false" customHeight="false" outlineLevel="0" collapsed="false">
      <c r="A60" s="3" t="s">
        <v>57</v>
      </c>
      <c r="B60" s="6" t="n">
        <f aca="false">B57*12*B59</f>
        <v>240</v>
      </c>
    </row>
    <row r="61" customFormat="false" ht="15" hidden="false" customHeight="false" outlineLevel="0" collapsed="false">
      <c r="A61" s="3" t="s">
        <v>58</v>
      </c>
      <c r="B61" s="6" t="n">
        <f aca="false">(B57*12)-B60</f>
        <v>11760</v>
      </c>
    </row>
    <row r="62" customFormat="false" ht="15" hidden="false" customHeight="false" outlineLevel="0" collapsed="false">
      <c r="A62" s="3" t="s">
        <v>59</v>
      </c>
      <c r="B62" s="5" t="n">
        <v>0.02</v>
      </c>
    </row>
    <row r="64" customFormat="false" ht="15" hidden="false" customHeight="false" outlineLevel="0" collapsed="false">
      <c r="A64" s="2" t="s">
        <v>60</v>
      </c>
      <c r="B64" s="2"/>
    </row>
    <row r="65" customFormat="false" ht="15" hidden="false" customHeight="false" outlineLevel="0" collapsed="false">
      <c r="A65" s="3" t="s">
        <v>61</v>
      </c>
      <c r="B65" s="6" t="n">
        <v>30</v>
      </c>
    </row>
    <row r="66" customFormat="false" ht="15" hidden="false" customHeight="false" outlineLevel="0" collapsed="false">
      <c r="A66" s="3" t="s">
        <v>62</v>
      </c>
      <c r="B66" s="6" t="n">
        <v>800</v>
      </c>
    </row>
    <row r="67" customFormat="false" ht="15" hidden="false" customHeight="false" outlineLevel="0" collapsed="false">
      <c r="A67" s="3" t="s">
        <v>63</v>
      </c>
      <c r="B67" s="6" t="n">
        <v>400</v>
      </c>
    </row>
    <row r="68" customFormat="false" ht="15" hidden="false" customHeight="false" outlineLevel="0" collapsed="false">
      <c r="A68" s="3" t="s">
        <v>64</v>
      </c>
      <c r="B68" s="6" t="n">
        <v>250</v>
      </c>
    </row>
    <row r="69" customFormat="false" ht="15" hidden="false" customHeight="false" outlineLevel="0" collapsed="false">
      <c r="A69" s="3" t="s">
        <v>65</v>
      </c>
      <c r="B69" s="6" t="n">
        <v>300</v>
      </c>
    </row>
    <row r="70" customFormat="false" ht="15" hidden="false" customHeight="false" outlineLevel="0" collapsed="false">
      <c r="A70" s="3" t="s">
        <v>66</v>
      </c>
      <c r="B70" s="6" t="n">
        <v>200</v>
      </c>
    </row>
    <row r="71" customFormat="false" ht="15" hidden="false" customHeight="false" outlineLevel="0" collapsed="false">
      <c r="A71" s="3" t="s">
        <v>67</v>
      </c>
      <c r="B71" s="6" t="n">
        <v>150</v>
      </c>
    </row>
    <row r="72" customFormat="false" ht="15" hidden="false" customHeight="false" outlineLevel="0" collapsed="false">
      <c r="A72" s="3" t="s">
        <v>68</v>
      </c>
      <c r="B72" s="12" t="n">
        <f aca="false">(B65*12)+B66+B67+B68+B69+B70+B71</f>
        <v>2460</v>
      </c>
    </row>
    <row r="74" customFormat="false" ht="15" hidden="false" customHeight="false" outlineLevel="0" collapsed="false">
      <c r="A74" s="2" t="s">
        <v>69</v>
      </c>
      <c r="B74" s="2"/>
    </row>
    <row r="75" customFormat="false" ht="15" hidden="false" customHeight="false" outlineLevel="0" collapsed="false">
      <c r="A75" s="3" t="s">
        <v>70</v>
      </c>
      <c r="B75" s="5" t="n">
        <v>0.8</v>
      </c>
    </row>
    <row r="76" customFormat="false" ht="15" hidden="false" customHeight="false" outlineLevel="0" collapsed="false">
      <c r="A76" s="3" t="s">
        <v>71</v>
      </c>
      <c r="B76" s="6" t="n">
        <f aca="false">B18*B75</f>
        <v>280000</v>
      </c>
    </row>
    <row r="77" customFormat="false" ht="15" hidden="false" customHeight="false" outlineLevel="0" collapsed="false">
      <c r="A77" s="3" t="s">
        <v>72</v>
      </c>
      <c r="B77" s="5" t="n">
        <v>0.02</v>
      </c>
    </row>
    <row r="78" customFormat="false" ht="15" hidden="false" customHeight="false" outlineLevel="0" collapsed="false">
      <c r="A78" s="3" t="s">
        <v>73</v>
      </c>
      <c r="B78" s="6" t="n">
        <f aca="false">B76*B77</f>
        <v>5600</v>
      </c>
    </row>
    <row r="79" customFormat="false" ht="15" hidden="false" customHeight="false" outlineLevel="0" collapsed="false">
      <c r="A79" s="3" t="s">
        <v>74</v>
      </c>
      <c r="B79" s="5" t="n">
        <v>0.42</v>
      </c>
    </row>
    <row r="80" customFormat="false" ht="15" hidden="false" customHeight="false" outlineLevel="0" collapsed="false">
      <c r="A80" s="3" t="s">
        <v>75</v>
      </c>
      <c r="B80" s="6" t="n">
        <v>200</v>
      </c>
    </row>
    <row r="83" customFormat="false" ht="15" hidden="false" customHeight="false" outlineLevel="0" collapsed="false">
      <c r="A83" s="17" t="s">
        <v>76</v>
      </c>
      <c r="B83" s="18" t="s">
        <v>77</v>
      </c>
      <c r="C83" s="18" t="s">
        <v>78</v>
      </c>
      <c r="D83" s="18" t="s">
        <v>79</v>
      </c>
      <c r="E83" s="18" t="s">
        <v>80</v>
      </c>
      <c r="F83" s="18" t="s">
        <v>81</v>
      </c>
      <c r="G83" s="18" t="s">
        <v>82</v>
      </c>
      <c r="H83" s="18" t="s">
        <v>83</v>
      </c>
      <c r="I83" s="18" t="s">
        <v>84</v>
      </c>
      <c r="J83" s="18" t="s">
        <v>85</v>
      </c>
      <c r="K83" s="18" t="s">
        <v>86</v>
      </c>
      <c r="L83" s="18" t="s">
        <v>87</v>
      </c>
      <c r="M83" s="18" t="s">
        <v>88</v>
      </c>
      <c r="N83" s="18" t="s">
        <v>89</v>
      </c>
      <c r="O83" s="18" t="s">
        <v>90</v>
      </c>
      <c r="P83" s="18" t="s">
        <v>91</v>
      </c>
      <c r="Q83" s="18" t="s">
        <v>92</v>
      </c>
      <c r="R83" s="18" t="s">
        <v>93</v>
      </c>
      <c r="S83" s="18" t="s">
        <v>94</v>
      </c>
      <c r="T83" s="18" t="s">
        <v>95</v>
      </c>
      <c r="U83" s="18" t="s">
        <v>96</v>
      </c>
      <c r="V83" s="18" t="s">
        <v>97</v>
      </c>
      <c r="W83" s="18" t="s">
        <v>98</v>
      </c>
      <c r="X83" s="18" t="s">
        <v>99</v>
      </c>
      <c r="Y83" s="18" t="s">
        <v>100</v>
      </c>
      <c r="Z83" s="18" t="s">
        <v>101</v>
      </c>
      <c r="AA83" s="18" t="s">
        <v>102</v>
      </c>
      <c r="AB83" s="18" t="s">
        <v>103</v>
      </c>
      <c r="AC83" s="18" t="s">
        <v>104</v>
      </c>
      <c r="AD83" s="18" t="s">
        <v>105</v>
      </c>
      <c r="AE83" s="18" t="s">
        <v>106</v>
      </c>
    </row>
    <row r="84" customFormat="false" ht="15" hidden="false" customHeight="false" outlineLevel="0" collapsed="false">
      <c r="A84" s="3" t="s">
        <v>107</v>
      </c>
      <c r="B84" s="6" t="n">
        <f aca="false">B57*12</f>
        <v>12000</v>
      </c>
      <c r="C84" s="6" t="n">
        <f aca="false">B84*(1+$B$62)</f>
        <v>12240</v>
      </c>
      <c r="D84" s="6" t="n">
        <f aca="false">C84*(1+$B$62)</f>
        <v>12484.8</v>
      </c>
      <c r="E84" s="6" t="n">
        <f aca="false">D84*(1+$B$62)</f>
        <v>12734.496</v>
      </c>
      <c r="F84" s="6" t="n">
        <f aca="false">E84*(1+$B$62)</f>
        <v>12989.18592</v>
      </c>
      <c r="G84" s="6" t="n">
        <f aca="false">F84*(1+$B$62)</f>
        <v>13248.9696384</v>
      </c>
      <c r="H84" s="6" t="n">
        <f aca="false">G84*(1+$B$62)</f>
        <v>13513.949031168</v>
      </c>
      <c r="I84" s="6" t="n">
        <f aca="false">H84*(1+$B$62)</f>
        <v>13784.2280117914</v>
      </c>
      <c r="J84" s="6" t="n">
        <f aca="false">I84*(1+$B$62)</f>
        <v>14059.9125720272</v>
      </c>
      <c r="K84" s="6" t="n">
        <f aca="false">J84*(1+$B$62)</f>
        <v>14341.1108234677</v>
      </c>
      <c r="L84" s="6" t="n">
        <f aca="false">K84*(1+$B$62)</f>
        <v>14627.9330399371</v>
      </c>
      <c r="M84" s="6" t="n">
        <f aca="false">L84*(1+$B$62)</f>
        <v>14920.4917007358</v>
      </c>
      <c r="N84" s="6" t="n">
        <f aca="false">M84*(1+$B$62)</f>
        <v>15218.9015347505</v>
      </c>
      <c r="O84" s="6" t="n">
        <f aca="false">N84*(1+$B$62)</f>
        <v>15523.2795654456</v>
      </c>
      <c r="P84" s="6" t="n">
        <f aca="false">O84*(1+$B$62)</f>
        <v>15833.7451567545</v>
      </c>
      <c r="Q84" s="6" t="n">
        <f aca="false">P84*(1+$B$62)</f>
        <v>16150.4200598896</v>
      </c>
      <c r="R84" s="6" t="n">
        <f aca="false">Q84*(1+$B$62)</f>
        <v>16473.4284610874</v>
      </c>
      <c r="S84" s="6" t="n">
        <f aca="false">R84*(1+$B$62)</f>
        <v>16802.8970303091</v>
      </c>
      <c r="T84" s="6" t="n">
        <f aca="false">S84*(1+$B$62)</f>
        <v>17138.9549709153</v>
      </c>
      <c r="U84" s="6" t="n">
        <f aca="false">T84*(1+$B$62)</f>
        <v>17481.7340703336</v>
      </c>
      <c r="V84" s="6" t="n">
        <f aca="false">U84*(1+$B$62)</f>
        <v>17831.3687517403</v>
      </c>
      <c r="W84" s="6" t="n">
        <f aca="false">V84*(1+$B$62)</f>
        <v>18187.9961267751</v>
      </c>
      <c r="X84" s="6" t="n">
        <f aca="false">W84*(1+$B$62)</f>
        <v>18551.7560493106</v>
      </c>
      <c r="Y84" s="6" t="n">
        <f aca="false">X84*(1+$B$62)</f>
        <v>18922.7911702968</v>
      </c>
      <c r="Z84" s="6" t="n">
        <f aca="false">Y84*(1+$B$62)</f>
        <v>19301.2469937027</v>
      </c>
      <c r="AA84" s="6" t="n">
        <f aca="false">Z84*(1+$B$62)</f>
        <v>19687.2719335768</v>
      </c>
      <c r="AB84" s="6" t="n">
        <f aca="false">AA84*(1+$B$62)</f>
        <v>20081.0173722483</v>
      </c>
      <c r="AC84" s="6" t="n">
        <f aca="false">AB84*(1+$B$62)</f>
        <v>20482.6377196933</v>
      </c>
      <c r="AD84" s="6" t="n">
        <f aca="false">AC84*(1+$B$62)</f>
        <v>20892.2904740871</v>
      </c>
      <c r="AE84" s="6" t="n">
        <f aca="false">AD84*(1+$B$62)</f>
        <v>21310.1362835689</v>
      </c>
    </row>
    <row r="85" customFormat="false" ht="15" hidden="false" customHeight="false" outlineLevel="0" collapsed="false">
      <c r="A85" s="3" t="s">
        <v>108</v>
      </c>
      <c r="B85" s="6" t="n">
        <f aca="false">B72</f>
        <v>2460</v>
      </c>
      <c r="C85" s="6" t="n">
        <f aca="false">B85*(1+0.02)</f>
        <v>2509.2</v>
      </c>
      <c r="D85" s="6" t="n">
        <f aca="false">C85*(1+0.02)</f>
        <v>2559.384</v>
      </c>
      <c r="E85" s="6" t="n">
        <f aca="false">D85*(1+0.02)</f>
        <v>2610.57168</v>
      </c>
      <c r="F85" s="6" t="n">
        <f aca="false">E85*(1+0.02)</f>
        <v>2662.7831136</v>
      </c>
      <c r="G85" s="6" t="n">
        <f aca="false">F85*(1+0.02)</f>
        <v>2716.038775872</v>
      </c>
      <c r="H85" s="6" t="n">
        <f aca="false">G85*(1+0.02)</f>
        <v>2770.35955138944</v>
      </c>
      <c r="I85" s="6" t="n">
        <f aca="false">H85*(1+0.02)</f>
        <v>2825.76674241723</v>
      </c>
      <c r="J85" s="6" t="n">
        <f aca="false">I85*(1+0.02)</f>
        <v>2882.28207726557</v>
      </c>
      <c r="K85" s="6" t="n">
        <f aca="false">J85*(1+0.02)</f>
        <v>2939.92771881089</v>
      </c>
      <c r="L85" s="6" t="n">
        <f aca="false">K85*(1+0.02)</f>
        <v>2998.7262731871</v>
      </c>
      <c r="M85" s="6" t="n">
        <f aca="false">L85*(1+0.02)</f>
        <v>3058.70079865084</v>
      </c>
      <c r="N85" s="6" t="n">
        <f aca="false">M85*(1+0.02)</f>
        <v>3119.87481462386</v>
      </c>
      <c r="O85" s="6" t="n">
        <f aca="false">N85*(1+0.02)</f>
        <v>3182.27231091634</v>
      </c>
      <c r="P85" s="6" t="n">
        <f aca="false">O85*(1+0.02)</f>
        <v>3245.91775713467</v>
      </c>
      <c r="Q85" s="6" t="n">
        <f aca="false">P85*(1+0.02)</f>
        <v>3310.83611227736</v>
      </c>
      <c r="R85" s="6" t="n">
        <f aca="false">Q85*(1+0.02)</f>
        <v>3377.05283452291</v>
      </c>
      <c r="S85" s="6" t="n">
        <f aca="false">R85*(1+0.02)</f>
        <v>3444.59389121337</v>
      </c>
      <c r="T85" s="6" t="n">
        <f aca="false">S85*(1+0.02)</f>
        <v>3513.48576903763</v>
      </c>
      <c r="U85" s="6" t="n">
        <f aca="false">T85*(1+0.02)</f>
        <v>3583.75548441839</v>
      </c>
      <c r="V85" s="6" t="n">
        <f aca="false">U85*(1+0.02)</f>
        <v>3655.43059410675</v>
      </c>
      <c r="W85" s="6" t="n">
        <f aca="false">V85*(1+0.02)</f>
        <v>3728.53920598889</v>
      </c>
      <c r="X85" s="6" t="n">
        <f aca="false">W85*(1+0.02)</f>
        <v>3803.10999010867</v>
      </c>
      <c r="Y85" s="6" t="n">
        <f aca="false">X85*(1+0.02)</f>
        <v>3879.17218991084</v>
      </c>
      <c r="Z85" s="6" t="n">
        <f aca="false">Y85*(1+0.02)</f>
        <v>3956.75563370906</v>
      </c>
      <c r="AA85" s="6" t="n">
        <f aca="false">Z85*(1+0.02)</f>
        <v>4035.89074638324</v>
      </c>
      <c r="AB85" s="6" t="n">
        <f aca="false">AA85*(1+0.02)</f>
        <v>4116.6085613109</v>
      </c>
      <c r="AC85" s="6" t="n">
        <f aca="false">AB85*(1+0.02)</f>
        <v>4198.94073253712</v>
      </c>
      <c r="AD85" s="6" t="n">
        <f aca="false">AC85*(1+0.02)</f>
        <v>4282.91954718786</v>
      </c>
      <c r="AE85" s="6" t="n">
        <f aca="false">AD85*(1+0.02)</f>
        <v>4368.57793813162</v>
      </c>
    </row>
    <row r="86" customFormat="false" ht="15" hidden="false" customHeight="false" outlineLevel="0" collapsed="false">
      <c r="A86" s="3" t="s">
        <v>109</v>
      </c>
      <c r="B86" s="6" t="n">
        <f aca="false">B46*B47</f>
        <v>11156.46</v>
      </c>
      <c r="C86" s="6" t="n">
        <f aca="false">IF(B92&gt;0,B92*$B$47,0)</f>
        <v>10933.3308</v>
      </c>
      <c r="D86" s="6" t="n">
        <f aca="false">IF(C92&gt;0,C92*$B$47,0)</f>
        <v>10702.392078</v>
      </c>
      <c r="E86" s="6" t="n">
        <f aca="false">IF(D92&gt;0,D92*$B$47,0)</f>
        <v>10463.37050073</v>
      </c>
      <c r="F86" s="6" t="n">
        <f aca="false">IF(E92&gt;0,E92*$B$47,0)</f>
        <v>10215.9831682555</v>
      </c>
      <c r="G86" s="6" t="n">
        <f aca="false">IF(F92&gt;0,F92*$B$47,0)</f>
        <v>9959.93727914449</v>
      </c>
      <c r="H86" s="6" t="n">
        <f aca="false">IF(G92&gt;0,G92*$B$47,0)</f>
        <v>9694.92978391455</v>
      </c>
      <c r="I86" s="6" t="n">
        <f aca="false">IF(H92&gt;0,H92*$B$47,0)</f>
        <v>9420.64702635156</v>
      </c>
      <c r="J86" s="6" t="n">
        <f aca="false">IF(I92&gt;0,I92*$B$47,0)</f>
        <v>9136.76437227387</v>
      </c>
      <c r="K86" s="6" t="n">
        <f aca="false">IF(J92&gt;0,J92*$B$47,0)</f>
        <v>8842.94582530345</v>
      </c>
      <c r="L86" s="6" t="n">
        <f aca="false">IF(K92&gt;0,K92*$B$47,0)</f>
        <v>8538.84362918907</v>
      </c>
      <c r="M86" s="6" t="n">
        <f aca="false">IF(L92&gt;0,L92*$B$47,0)</f>
        <v>8224.09785621069</v>
      </c>
      <c r="N86" s="6" t="n">
        <f aca="false">IF(M92&gt;0,M92*$B$47,0)</f>
        <v>7898.33598117806</v>
      </c>
      <c r="O86" s="6" t="n">
        <f aca="false">IF(N92&gt;0,N92*$B$47,0)</f>
        <v>7561.17244051929</v>
      </c>
      <c r="P86" s="6" t="n">
        <f aca="false">IF(O92&gt;0,O92*$B$47,0)</f>
        <v>7212.20817593747</v>
      </c>
      <c r="Q86" s="6" t="n">
        <f aca="false">IF(P92&gt;0,P92*$B$47,0)</f>
        <v>6851.03016209528</v>
      </c>
      <c r="R86" s="6" t="n">
        <f aca="false">IF(Q92&gt;0,Q92*$B$47,0)</f>
        <v>6477.21091776861</v>
      </c>
      <c r="S86" s="6" t="n">
        <f aca="false">IF(R92&gt;0,R92*$B$47,0)</f>
        <v>6090.30799989052</v>
      </c>
      <c r="T86" s="6" t="n">
        <f aca="false">IF(S92&gt;0,S92*$B$47,0)</f>
        <v>5689.86347988668</v>
      </c>
      <c r="U86" s="6" t="n">
        <f aca="false">IF(T92&gt;0,T92*$B$47,0)</f>
        <v>5275.40340168272</v>
      </c>
      <c r="V86" s="6" t="n">
        <f aca="false">IF(U92&gt;0,U92*$B$47,0)</f>
        <v>4846.43722074161</v>
      </c>
      <c r="W86" s="6" t="n">
        <f aca="false">IF(V92&gt;0,V92*$B$47,0)</f>
        <v>4402.45722346757</v>
      </c>
      <c r="X86" s="6" t="n">
        <f aca="false">IF(W92&gt;0,W92*$B$47,0)</f>
        <v>3942.93792628893</v>
      </c>
      <c r="Y86" s="6" t="n">
        <f aca="false">IF(X92&gt;0,X92*$B$47,0)</f>
        <v>3467.33545370905</v>
      </c>
      <c r="Z86" s="6" t="n">
        <f aca="false">IF(Y92&gt;0,Y92*$B$47,0)</f>
        <v>2975.08689458886</v>
      </c>
      <c r="AA86" s="6" t="n">
        <f aca="false">IF(Z92&gt;0,Z92*$B$47,0)</f>
        <v>2465.60963589947</v>
      </c>
      <c r="AB86" s="6" t="n">
        <f aca="false">IF(AA92&gt;0,AA92*$B$47,0)</f>
        <v>1938.30067315595</v>
      </c>
      <c r="AC86" s="6" t="n">
        <f aca="false">IF(AB92&gt;0,AB92*$B$47,0)</f>
        <v>1392.53589671641</v>
      </c>
      <c r="AD86" s="6" t="n">
        <f aca="false">IF(AC92&gt;0,AC92*$B$47,0)</f>
        <v>827.669353101487</v>
      </c>
      <c r="AE86" s="6" t="n">
        <f aca="false">IF(AD92&gt;0,AD92*$B$47,0)</f>
        <v>243.032480460039</v>
      </c>
    </row>
    <row r="87" customFormat="false" ht="15" hidden="false" customHeight="false" outlineLevel="0" collapsed="false">
      <c r="A87" s="3" t="s">
        <v>110</v>
      </c>
      <c r="B87" s="6" t="n">
        <f aca="false">B78</f>
        <v>5600</v>
      </c>
      <c r="C87" s="6" t="n">
        <f aca="false">B78</f>
        <v>5600</v>
      </c>
      <c r="D87" s="6" t="n">
        <f aca="false">B78</f>
        <v>5600</v>
      </c>
      <c r="E87" s="6" t="n">
        <f aca="false">B78</f>
        <v>5600</v>
      </c>
      <c r="F87" s="6" t="n">
        <f aca="false">B78</f>
        <v>5600</v>
      </c>
      <c r="G87" s="6" t="n">
        <f aca="false">B78</f>
        <v>5600</v>
      </c>
      <c r="H87" s="6" t="n">
        <f aca="false">B78</f>
        <v>5600</v>
      </c>
      <c r="I87" s="6" t="n">
        <f aca="false">B78</f>
        <v>5600</v>
      </c>
      <c r="J87" s="6" t="n">
        <f aca="false">B78</f>
        <v>5600</v>
      </c>
      <c r="K87" s="6" t="n">
        <f aca="false">B78</f>
        <v>5600</v>
      </c>
      <c r="L87" s="6" t="n">
        <f aca="false">B78</f>
        <v>5600</v>
      </c>
      <c r="M87" s="6" t="n">
        <f aca="false">B78</f>
        <v>5600</v>
      </c>
      <c r="N87" s="6" t="n">
        <f aca="false">B78</f>
        <v>5600</v>
      </c>
      <c r="O87" s="6" t="n">
        <f aca="false">B78</f>
        <v>5600</v>
      </c>
      <c r="P87" s="6" t="n">
        <f aca="false">B78</f>
        <v>5600</v>
      </c>
      <c r="Q87" s="6" t="n">
        <f aca="false">B78</f>
        <v>5600</v>
      </c>
      <c r="R87" s="6" t="n">
        <f aca="false">B78</f>
        <v>5600</v>
      </c>
      <c r="S87" s="6" t="n">
        <f aca="false">B78</f>
        <v>5600</v>
      </c>
      <c r="T87" s="6" t="n">
        <f aca="false">B78</f>
        <v>5600</v>
      </c>
      <c r="U87" s="6" t="n">
        <f aca="false">B78</f>
        <v>5600</v>
      </c>
      <c r="V87" s="6" t="n">
        <f aca="false">B78</f>
        <v>5600</v>
      </c>
      <c r="W87" s="6" t="n">
        <f aca="false">B78</f>
        <v>5600</v>
      </c>
      <c r="X87" s="6" t="n">
        <f aca="false">B78</f>
        <v>5600</v>
      </c>
      <c r="Y87" s="6" t="n">
        <f aca="false">B78</f>
        <v>5600</v>
      </c>
      <c r="Z87" s="6" t="n">
        <f aca="false">B78</f>
        <v>5600</v>
      </c>
      <c r="AA87" s="6" t="n">
        <f aca="false">B78</f>
        <v>5600</v>
      </c>
      <c r="AB87" s="6" t="n">
        <f aca="false">B78</f>
        <v>5600</v>
      </c>
      <c r="AC87" s="6" t="n">
        <f aca="false">B78</f>
        <v>5600</v>
      </c>
      <c r="AD87" s="6" t="n">
        <f aca="false">B78</f>
        <v>5600</v>
      </c>
      <c r="AE87" s="6" t="n">
        <f aca="false">B78</f>
        <v>5600</v>
      </c>
    </row>
    <row r="88" customFormat="false" ht="15" hidden="false" customHeight="false" outlineLevel="0" collapsed="false">
      <c r="A88" s="3" t="s">
        <v>111</v>
      </c>
      <c r="B88" s="6" t="n">
        <f aca="false">B84-B85-B86-B87</f>
        <v>-7216.46</v>
      </c>
      <c r="C88" s="6" t="n">
        <f aca="false">C84-C85-C86-C87</f>
        <v>-6802.5308</v>
      </c>
      <c r="D88" s="6" t="n">
        <f aca="false">D84-D85-D86-D87</f>
        <v>-6376.976078</v>
      </c>
      <c r="E88" s="6" t="n">
        <f aca="false">E84-E85-E86-E87</f>
        <v>-5939.44618073</v>
      </c>
      <c r="F88" s="6" t="n">
        <f aca="false">F84-F85-F86-F87</f>
        <v>-5489.58036185555</v>
      </c>
      <c r="G88" s="6" t="n">
        <f aca="false">G84-G85-G86-G87</f>
        <v>-5027.00641661649</v>
      </c>
      <c r="H88" s="6" t="n">
        <f aca="false">H84-H85-H86-H87</f>
        <v>-4551.34030413599</v>
      </c>
      <c r="I88" s="6" t="n">
        <f aca="false">I84-I85-I86-I87</f>
        <v>-4062.18575697743</v>
      </c>
      <c r="J88" s="6" t="n">
        <f aca="false">J84-J85-J86-J87</f>
        <v>-3559.13387751225</v>
      </c>
      <c r="K88" s="6" t="n">
        <f aca="false">K84-K85-K86-K87</f>
        <v>-3041.7627206466</v>
      </c>
      <c r="L88" s="6" t="n">
        <f aca="false">L84-L85-L86-L87</f>
        <v>-2509.63686243909</v>
      </c>
      <c r="M88" s="6" t="n">
        <f aca="false">M84-M85-M86-M87</f>
        <v>-1962.3069541257</v>
      </c>
      <c r="N88" s="6" t="n">
        <f aca="false">N84-N85-N86-N87</f>
        <v>-1399.30926105138</v>
      </c>
      <c r="O88" s="6" t="n">
        <f aca="false">O84-O85-O86-O87</f>
        <v>-820.165185990073</v>
      </c>
      <c r="P88" s="6" t="n">
        <f aca="false">P84-P85-P86-P87</f>
        <v>-224.380776317663</v>
      </c>
      <c r="Q88" s="6" t="n">
        <f aca="false">Q84-Q85-Q86-Q87</f>
        <v>388.553785516922</v>
      </c>
      <c r="R88" s="6" t="n">
        <f aca="false">R84-R85-R86-R87</f>
        <v>1019.16470879583</v>
      </c>
      <c r="S88" s="6" t="n">
        <f aca="false">S84-S85-S86-S87</f>
        <v>1667.99513920522</v>
      </c>
      <c r="T88" s="6" t="n">
        <f aca="false">T84-T85-T86-T87</f>
        <v>2335.60572199097</v>
      </c>
      <c r="U88" s="6" t="n">
        <f aca="false">U84-U85-U86-U87</f>
        <v>3022.57518423248</v>
      </c>
      <c r="V88" s="6" t="n">
        <f aca="false">V84-V85-V86-V87</f>
        <v>3729.50093689189</v>
      </c>
      <c r="W88" s="6" t="n">
        <f aca="false">W84-W85-W86-W87</f>
        <v>4456.99969731861</v>
      </c>
      <c r="X88" s="6" t="n">
        <f aca="false">X84-X85-X86-X87</f>
        <v>5205.70813291296</v>
      </c>
      <c r="Y88" s="6" t="n">
        <f aca="false">Y84-Y85-Y86-Y87</f>
        <v>5976.28352667689</v>
      </c>
      <c r="Z88" s="6" t="n">
        <f aca="false">Z84-Z85-Z86-Z87</f>
        <v>6769.40446540479</v>
      </c>
      <c r="AA88" s="6" t="n">
        <f aca="false">AA84-AA85-AA86-AA87</f>
        <v>7585.77155129406</v>
      </c>
      <c r="AB88" s="6" t="n">
        <f aca="false">AB84-AB85-AB86-AB87</f>
        <v>8426.10813778145</v>
      </c>
      <c r="AC88" s="6" t="n">
        <f aca="false">AC84-AC85-AC86-AC87</f>
        <v>9291.16109043974</v>
      </c>
      <c r="AD88" s="6" t="n">
        <f aca="false">AD84-AD85-AD86-AD87</f>
        <v>10181.7015737978</v>
      </c>
      <c r="AE88" s="6" t="n">
        <f aca="false">AE84-AE85-AE86-AE87</f>
        <v>11098.5258649772</v>
      </c>
    </row>
    <row r="89" customFormat="false" ht="15" hidden="false" customHeight="false" outlineLevel="0" collapsed="false">
      <c r="A89" s="3" t="s">
        <v>112</v>
      </c>
      <c r="B89" s="6" t="n">
        <f aca="false">-B88*B79</f>
        <v>3030.9132</v>
      </c>
      <c r="C89" s="6" t="n">
        <f aca="false">-B88*B79</f>
        <v>3030.9132</v>
      </c>
      <c r="D89" s="6" t="n">
        <f aca="false">-B88*B79</f>
        <v>3030.9132</v>
      </c>
      <c r="E89" s="6" t="n">
        <f aca="false">-B88*B79</f>
        <v>3030.9132</v>
      </c>
      <c r="F89" s="6" t="n">
        <f aca="false">-B88*B79</f>
        <v>3030.9132</v>
      </c>
      <c r="G89" s="6" t="n">
        <f aca="false">-B88*B79</f>
        <v>3030.9132</v>
      </c>
      <c r="H89" s="6" t="n">
        <f aca="false">-B88*B79</f>
        <v>3030.9132</v>
      </c>
      <c r="I89" s="6" t="n">
        <f aca="false">-B88*B79</f>
        <v>3030.9132</v>
      </c>
      <c r="J89" s="6" t="n">
        <f aca="false">-B88*B79</f>
        <v>3030.9132</v>
      </c>
      <c r="K89" s="6" t="n">
        <f aca="false">-B88*B79</f>
        <v>3030.9132</v>
      </c>
      <c r="L89" s="6" t="n">
        <f aca="false">-B88*B79</f>
        <v>3030.9132</v>
      </c>
      <c r="M89" s="6" t="n">
        <f aca="false">-B88*B79</f>
        <v>3030.9132</v>
      </c>
      <c r="N89" s="6" t="n">
        <f aca="false">-B88*B79</f>
        <v>3030.9132</v>
      </c>
      <c r="O89" s="6" t="n">
        <f aca="false">-B88*B79</f>
        <v>3030.9132</v>
      </c>
      <c r="P89" s="6" t="n">
        <f aca="false">-B88*B79</f>
        <v>3030.9132</v>
      </c>
      <c r="Q89" s="6" t="n">
        <f aca="false">-B88*B79</f>
        <v>3030.9132</v>
      </c>
      <c r="R89" s="6" t="n">
        <f aca="false">-B88*B79</f>
        <v>3030.9132</v>
      </c>
      <c r="S89" s="6" t="n">
        <f aca="false">-B88*B79</f>
        <v>3030.9132</v>
      </c>
      <c r="T89" s="6" t="n">
        <f aca="false">-B88*B79</f>
        <v>3030.9132</v>
      </c>
      <c r="U89" s="6" t="n">
        <f aca="false">-B88*B79</f>
        <v>3030.9132</v>
      </c>
      <c r="V89" s="6" t="n">
        <f aca="false">-B88*B79</f>
        <v>3030.9132</v>
      </c>
      <c r="W89" s="6" t="n">
        <f aca="false">-B88*B79</f>
        <v>3030.9132</v>
      </c>
      <c r="X89" s="6" t="n">
        <f aca="false">-B88*B79</f>
        <v>3030.9132</v>
      </c>
      <c r="Y89" s="6" t="n">
        <f aca="false">-B88*B79</f>
        <v>3030.9132</v>
      </c>
      <c r="Z89" s="6" t="n">
        <f aca="false">-B88*B79</f>
        <v>3030.9132</v>
      </c>
      <c r="AA89" s="6" t="n">
        <f aca="false">-B88*B79</f>
        <v>3030.9132</v>
      </c>
      <c r="AB89" s="6" t="n">
        <f aca="false">-B88*B79</f>
        <v>3030.9132</v>
      </c>
      <c r="AC89" s="6" t="n">
        <f aca="false">-B88*B79</f>
        <v>3030.9132</v>
      </c>
      <c r="AD89" s="6" t="n">
        <f aca="false">-B88*B79</f>
        <v>3030.9132</v>
      </c>
      <c r="AE89" s="6" t="n">
        <f aca="false">-B88*B79</f>
        <v>3030.9132</v>
      </c>
    </row>
    <row r="90" customFormat="false" ht="15" hidden="false" customHeight="false" outlineLevel="0" collapsed="false">
      <c r="A90" s="3" t="s">
        <v>113</v>
      </c>
      <c r="B90" s="6" t="n">
        <f aca="false">B50</f>
        <v>17531.58</v>
      </c>
      <c r="C90" s="6" t="n">
        <f aca="false">IF(B92&gt;0,$B$50,0)</f>
        <v>17531.58</v>
      </c>
      <c r="D90" s="6" t="n">
        <f aca="false">IF(C92&gt;0,$B$50,0)</f>
        <v>17531.58</v>
      </c>
      <c r="E90" s="6" t="n">
        <f aca="false">IF(D92&gt;0,$B$50,0)</f>
        <v>17531.58</v>
      </c>
      <c r="F90" s="6" t="n">
        <f aca="false">IF(E92&gt;0,$B$50,0)</f>
        <v>17531.58</v>
      </c>
      <c r="G90" s="6" t="n">
        <f aca="false">IF(F92&gt;0,$B$50,0)</f>
        <v>17531.58</v>
      </c>
      <c r="H90" s="6" t="n">
        <f aca="false">IF(G92&gt;0,$B$50,0)</f>
        <v>17531.58</v>
      </c>
      <c r="I90" s="6" t="n">
        <f aca="false">IF(H92&gt;0,$B$50,0)</f>
        <v>17531.58</v>
      </c>
      <c r="J90" s="6" t="n">
        <f aca="false">IF(I92&gt;0,$B$50,0)</f>
        <v>17531.58</v>
      </c>
      <c r="K90" s="6" t="n">
        <f aca="false">IF(J92&gt;0,$B$50,0)</f>
        <v>17531.58</v>
      </c>
      <c r="L90" s="6" t="n">
        <f aca="false">IF(K92&gt;0,$B$50,0)</f>
        <v>17531.58</v>
      </c>
      <c r="M90" s="6" t="n">
        <f aca="false">IF(L92&gt;0,$B$50,0)</f>
        <v>17531.58</v>
      </c>
      <c r="N90" s="6" t="n">
        <f aca="false">IF(M92&gt;0,$B$50,0)</f>
        <v>17531.58</v>
      </c>
      <c r="O90" s="6" t="n">
        <f aca="false">IF(N92&gt;0,$B$50,0)</f>
        <v>17531.58</v>
      </c>
      <c r="P90" s="6" t="n">
        <f aca="false">IF(O92&gt;0,$B$50,0)</f>
        <v>17531.58</v>
      </c>
      <c r="Q90" s="6" t="n">
        <f aca="false">IF(P92&gt;0,$B$50,0)</f>
        <v>17531.58</v>
      </c>
      <c r="R90" s="6" t="n">
        <f aca="false">IF(Q92&gt;0,$B$50,0)</f>
        <v>17531.58</v>
      </c>
      <c r="S90" s="6" t="n">
        <f aca="false">IF(R92&gt;0,$B$50,0)</f>
        <v>17531.58</v>
      </c>
      <c r="T90" s="6" t="n">
        <f aca="false">IF(S92&gt;0,$B$50,0)</f>
        <v>17531.58</v>
      </c>
      <c r="U90" s="6" t="n">
        <f aca="false">IF(T92&gt;0,$B$50,0)</f>
        <v>17531.58</v>
      </c>
      <c r="V90" s="6" t="n">
        <f aca="false">IF(U92&gt;0,$B$50,0)</f>
        <v>17531.58</v>
      </c>
      <c r="W90" s="6" t="n">
        <f aca="false">IF(V92&gt;0,$B$50,0)</f>
        <v>17531.58</v>
      </c>
      <c r="X90" s="6" t="n">
        <f aca="false">IF(W92&gt;0,$B$50,0)</f>
        <v>17531.58</v>
      </c>
      <c r="Y90" s="6" t="n">
        <f aca="false">IF(X92&gt;0,$B$50,0)</f>
        <v>17531.58</v>
      </c>
      <c r="Z90" s="6" t="n">
        <f aca="false">IF(Y92&gt;0,$B$50,0)</f>
        <v>17531.58</v>
      </c>
      <c r="AA90" s="6" t="n">
        <f aca="false">IF(Z92&gt;0,$B$50,0)</f>
        <v>17531.58</v>
      </c>
      <c r="AB90" s="6" t="n">
        <f aca="false">IF(AA92&gt;0,$B$50,0)</f>
        <v>17531.58</v>
      </c>
      <c r="AC90" s="6" t="n">
        <f aca="false">IF(AB92&gt;0,$B$50,0)</f>
        <v>17531.58</v>
      </c>
      <c r="AD90" s="6" t="n">
        <f aca="false">IF(AC92&gt;0,$B$50,0)</f>
        <v>17531.58</v>
      </c>
      <c r="AE90" s="6" t="n">
        <f aca="false">IF(AD92&gt;0,$B$50,0)</f>
        <v>17531.58</v>
      </c>
    </row>
    <row r="91" customFormat="false" ht="15" hidden="false" customHeight="false" outlineLevel="0" collapsed="false">
      <c r="A91" s="19" t="s">
        <v>114</v>
      </c>
      <c r="B91" s="20" t="n">
        <f aca="false">B84-B85-B90+B89</f>
        <v>-4960.6668</v>
      </c>
      <c r="C91" s="20" t="n">
        <f aca="false">C84-C85-C90+C89</f>
        <v>-4769.8668</v>
      </c>
      <c r="D91" s="20" t="n">
        <f aca="false">D84-D85-D90+D89</f>
        <v>-4575.2508</v>
      </c>
      <c r="E91" s="20" t="n">
        <f aca="false">E84-E85-E90+E89</f>
        <v>-4376.74248</v>
      </c>
      <c r="F91" s="20" t="n">
        <f aca="false">F84-F85-F90+F89</f>
        <v>-4174.2639936</v>
      </c>
      <c r="G91" s="20" t="n">
        <f aca="false">G84-G85-G90+G89</f>
        <v>-3967.735937472</v>
      </c>
      <c r="H91" s="20" t="n">
        <f aca="false">H84-H85-H90+H89</f>
        <v>-3757.07732022144</v>
      </c>
      <c r="I91" s="20" t="n">
        <f aca="false">I84-I85-I90+I89</f>
        <v>-3542.20553062587</v>
      </c>
      <c r="J91" s="20" t="n">
        <f aca="false">J84-J85-J90+J89</f>
        <v>-3323.03630523839</v>
      </c>
      <c r="K91" s="20" t="n">
        <f aca="false">K84-K85-K90+K89</f>
        <v>-3099.48369534315</v>
      </c>
      <c r="L91" s="20" t="n">
        <f aca="false">L84-L85-L90+L89</f>
        <v>-2871.46003325002</v>
      </c>
      <c r="M91" s="20" t="n">
        <f aca="false">M84-M85-M90+M89</f>
        <v>-2638.87589791502</v>
      </c>
      <c r="N91" s="20" t="n">
        <f aca="false">N84-N85-N90+N89</f>
        <v>-2401.64007987331</v>
      </c>
      <c r="O91" s="20" t="n">
        <f aca="false">O84-O85-O90+O89</f>
        <v>-2159.65954547078</v>
      </c>
      <c r="P91" s="20" t="n">
        <f aca="false">P84-P85-P90+P89</f>
        <v>-1912.8394003802</v>
      </c>
      <c r="Q91" s="20" t="n">
        <f aca="false">Q84-Q85-Q90+Q89</f>
        <v>-1661.0828523878</v>
      </c>
      <c r="R91" s="20" t="n">
        <f aca="false">R84-R85-R90+R89</f>
        <v>-1404.29117343555</v>
      </c>
      <c r="S91" s="20" t="n">
        <f aca="false">S84-S85-S90+S89</f>
        <v>-1142.36366090426</v>
      </c>
      <c r="T91" s="20" t="n">
        <f aca="false">T84-T85-T90+T89</f>
        <v>-875.197598122352</v>
      </c>
      <c r="U91" s="20" t="n">
        <f aca="false">U84-U85-U90+U89</f>
        <v>-602.6882140848</v>
      </c>
      <c r="V91" s="20" t="n">
        <f aca="false">V84-V85-V90+V89</f>
        <v>-324.728642366496</v>
      </c>
      <c r="W91" s="20" t="n">
        <f aca="false">W84-W85-W90+W89</f>
        <v>-41.2098792138263</v>
      </c>
      <c r="X91" s="20" t="n">
        <f aca="false">X84-X85-X90+X89</f>
        <v>247.979259201896</v>
      </c>
      <c r="Y91" s="20" t="n">
        <f aca="false">Y84-Y85-Y90+Y89</f>
        <v>542.952180385937</v>
      </c>
      <c r="Z91" s="20" t="n">
        <f aca="false">Z84-Z85-Z90+Z89</f>
        <v>843.824559993656</v>
      </c>
      <c r="AA91" s="20" t="n">
        <f aca="false">AA84-AA85-AA90+AA89</f>
        <v>1150.71438719353</v>
      </c>
      <c r="AB91" s="20" t="n">
        <f aca="false">AB84-AB85-AB90+AB89</f>
        <v>1463.7420109374</v>
      </c>
      <c r="AC91" s="20" t="n">
        <f aca="false">AC84-AC85-AC90+AC89</f>
        <v>1783.03018715615</v>
      </c>
      <c r="AD91" s="20" t="n">
        <f aca="false">AD84-AD85-AD90+AD89</f>
        <v>2108.70412689927</v>
      </c>
      <c r="AE91" s="20" t="n">
        <f aca="false">AE84-AE85-AE90+AE89</f>
        <v>2440.89154543726</v>
      </c>
    </row>
    <row r="92" customFormat="false" ht="15" hidden="false" customHeight="false" outlineLevel="0" collapsed="false">
      <c r="A92" s="19" t="s">
        <v>115</v>
      </c>
      <c r="B92" s="20" t="n">
        <f aca="false">MAX(0,B46-(B90-B86))</f>
        <v>312380.88</v>
      </c>
      <c r="C92" s="20" t="n">
        <f aca="false">IF(B92&gt;0,MAX(0,B92-(C90-C86)),0)</f>
        <v>305782.6308</v>
      </c>
      <c r="D92" s="20" t="n">
        <f aca="false">IF(C92&gt;0,MAX(0,C92-(D90-D86)),0)</f>
        <v>298953.442878</v>
      </c>
      <c r="E92" s="20" t="n">
        <f aca="false">IF(D92&gt;0,MAX(0,D92-(E90-E86)),0)</f>
        <v>291885.23337873</v>
      </c>
      <c r="F92" s="20" t="n">
        <f aca="false">IF(E92&gt;0,MAX(0,E92-(F90-F86)),0)</f>
        <v>284569.636546986</v>
      </c>
      <c r="G92" s="20" t="n">
        <f aca="false">IF(F92&gt;0,MAX(0,F92-(G90-G86)),0)</f>
        <v>276997.99382613</v>
      </c>
      <c r="H92" s="20" t="n">
        <f aca="false">IF(G92&gt;0,MAX(0,G92-(H90-H86)),0)</f>
        <v>269161.343610045</v>
      </c>
      <c r="I92" s="20" t="n">
        <f aca="false">IF(H92&gt;0,MAX(0,H92-(I90-I86)),0)</f>
        <v>261050.410636396</v>
      </c>
      <c r="J92" s="20" t="n">
        <f aca="false">IF(I92&gt;0,MAX(0,I92-(J90-J86)),0)</f>
        <v>252655.59500867</v>
      </c>
      <c r="K92" s="20" t="n">
        <f aca="false">IF(J92&gt;0,MAX(0,J92-(K90-K86)),0)</f>
        <v>243966.960833973</v>
      </c>
      <c r="L92" s="20" t="n">
        <f aca="false">IF(K92&gt;0,MAX(0,K92-(L90-L86)),0)</f>
        <v>234974.224463163</v>
      </c>
      <c r="M92" s="20" t="n">
        <f aca="false">IF(L92&gt;0,MAX(0,L92-(M90-M86)),0)</f>
        <v>225666.742319373</v>
      </c>
      <c r="N92" s="20" t="n">
        <f aca="false">IF(M92&gt;0,MAX(0,M92-(N90-N86)),0)</f>
        <v>216033.498300551</v>
      </c>
      <c r="O92" s="20" t="n">
        <f aca="false">IF(N92&gt;0,MAX(0,N92-(O90-O86)),0)</f>
        <v>206063.090741071</v>
      </c>
      <c r="P92" s="20" t="n">
        <f aca="false">IF(O92&gt;0,MAX(0,O92-(P90-P86)),0)</f>
        <v>195743.718917008</v>
      </c>
      <c r="Q92" s="20" t="n">
        <f aca="false">IF(P92&gt;0,MAX(0,P92-(Q90-Q86)),0)</f>
        <v>185063.169079103</v>
      </c>
      <c r="R92" s="20" t="n">
        <f aca="false">IF(Q92&gt;0,MAX(0,Q92-(R90-R86)),0)</f>
        <v>174008.799996872</v>
      </c>
      <c r="S92" s="20" t="n">
        <f aca="false">IF(R92&gt;0,MAX(0,R92-(S90-S86)),0)</f>
        <v>162567.527996762</v>
      </c>
      <c r="T92" s="20" t="n">
        <f aca="false">IF(S92&gt;0,MAX(0,S92-(T90-T86)),0)</f>
        <v>150725.811476649</v>
      </c>
      <c r="U92" s="20" t="n">
        <f aca="false">IF(T92&gt;0,MAX(0,T92-(U90-U86)),0)</f>
        <v>138469.634878332</v>
      </c>
      <c r="V92" s="20" t="n">
        <f aca="false">IF(U92&gt;0,MAX(0,U92-(V90-V86)),0)</f>
        <v>125784.492099073</v>
      </c>
      <c r="W92" s="20" t="n">
        <f aca="false">IF(V92&gt;0,MAX(0,V92-(W90-W86)),0)</f>
        <v>112655.369322541</v>
      </c>
      <c r="X92" s="20" t="n">
        <f aca="false">IF(W92&gt;0,MAX(0,W92-(X90-X86)),0)</f>
        <v>99066.7272488299</v>
      </c>
      <c r="Y92" s="20" t="n">
        <f aca="false">IF(X92&gt;0,MAX(0,X92-(Y90-Y86)),0)</f>
        <v>85002.4827025389</v>
      </c>
      <c r="Z92" s="20" t="n">
        <f aca="false">IF(Y92&gt;0,MAX(0,Y92-(Z90-Z86)),0)</f>
        <v>70445.9895971278</v>
      </c>
      <c r="AA92" s="20" t="n">
        <f aca="false">IF(Z92&gt;0,MAX(0,Z92-(AA90-AA86)),0)</f>
        <v>55380.0192330273</v>
      </c>
      <c r="AB92" s="20" t="n">
        <f aca="false">IF(AA92&gt;0,MAX(0,AA92-(AB90-AB86)),0)</f>
        <v>39786.7399061832</v>
      </c>
      <c r="AC92" s="20" t="n">
        <f aca="false">IF(AB92&gt;0,MAX(0,AB92-(AC90-AC86)),0)</f>
        <v>23647.6958028996</v>
      </c>
      <c r="AD92" s="20" t="n">
        <f aca="false">IF(AC92&gt;0,MAX(0,AC92-(AD90-AD86)),0)</f>
        <v>6943.78515600111</v>
      </c>
      <c r="AE92" s="20" t="n">
        <f aca="false">IF(AD92&gt;0,MAX(0,AD92-(AE90-AE86)),0)</f>
        <v>0</v>
      </c>
    </row>
    <row r="1048576" customFormat="false" ht="12.8" hidden="false" customHeight="false" outlineLevel="0" collapsed="false"/>
  </sheetData>
  <mergeCells count="9">
    <mergeCell ref="A1:AE1"/>
    <mergeCell ref="A2:B2"/>
    <mergeCell ref="A9:B9"/>
    <mergeCell ref="A17:B17"/>
    <mergeCell ref="A27:B27"/>
    <mergeCell ref="A43:B43"/>
    <mergeCell ref="A55:B55"/>
    <mergeCell ref="A64:B64"/>
    <mergeCell ref="A74:B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2026-05-18T16:59:01Z</dcterms:created>
  <dc:creator>openpyxl</dc:creator>
  <dc:description/>
  <dc:language>de-DE</dc:language>
  <cp:lastModifiedBy/>
  <dcterms:modified xsi:type="dcterms:W3CDTF">2026-05-18T19:29:34Z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